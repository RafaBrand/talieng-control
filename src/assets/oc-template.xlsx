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EstaPasta_de_trabalho"/>
  <mc:AlternateContent xmlns:mc="http://schemas.openxmlformats.org/markup-compatibility/2006">
    <mc:Choice Requires="x15">
      <x15ac:absPath xmlns:x15ac="http://schemas.microsoft.com/office/spreadsheetml/2010/11/ac" url="T:\02_INTECSO_3° PAVIMENTO\01_ORDEM DE COMPRA\00_MODELOS\"/>
    </mc:Choice>
  </mc:AlternateContent>
  <bookViews>
    <workbookView xWindow="-120" yWindow="-120" windowWidth="20730" windowHeight="11040"/>
  </bookViews>
  <sheets>
    <sheet name="Ordem de Compra" sheetId="4" r:id="rId1"/>
  </sheets>
  <definedNames>
    <definedName name="__IntlFixup" hidden="1">TRUE</definedName>
    <definedName name="_SHR1">#REF!</definedName>
    <definedName name="_SHR2">#REF!</definedName>
    <definedName name="_xlnm.Print_Area" localSheetId="0">'Ordem de Compra'!$A$1:$S$77</definedName>
    <definedName name="boxes" localSheetId="0">'Ordem de Compra'!#REF!,'Ordem de Compra'!#REF!</definedName>
    <definedName name="boxes">#REF!,#REF!</definedName>
    <definedName name="CC">#REF!</definedName>
    <definedName name="CCT" localSheetId="0">'Ordem de Compra'!#REF!</definedName>
    <definedName name="CCT">#REF!</definedName>
    <definedName name="CDB">#REF!</definedName>
    <definedName name="celltips_area">#REF!</definedName>
    <definedName name="CS">#REF!</definedName>
    <definedName name="data1" localSheetId="0">'Ordem de Compra'!#REF!</definedName>
    <definedName name="data1">#REF!</definedName>
    <definedName name="data10" localSheetId="0">'Ordem de Compra'!#REF!</definedName>
    <definedName name="data10">#REF!</definedName>
    <definedName name="data100" localSheetId="0">'Ordem de Compra'!#REF!</definedName>
    <definedName name="data100">#REF!</definedName>
    <definedName name="data101" localSheetId="0">'Ordem de Compra'!#REF!</definedName>
    <definedName name="data101">#REF!</definedName>
    <definedName name="data11" localSheetId="0">'Ordem de Compra'!#REF!</definedName>
    <definedName name="data11">#REF!</definedName>
    <definedName name="data12" localSheetId="0">'Ordem de Compra'!#REF!</definedName>
    <definedName name="data12">#REF!</definedName>
    <definedName name="data13" localSheetId="0">'Ordem de Compra'!#REF!</definedName>
    <definedName name="data13">#REF!</definedName>
    <definedName name="data14" localSheetId="0">'Ordem de Compra'!#REF!</definedName>
    <definedName name="data14">#REF!</definedName>
    <definedName name="data15" localSheetId="0">'Ordem de Compra'!#REF!</definedName>
    <definedName name="data15">#REF!</definedName>
    <definedName name="data16" localSheetId="0">'Ordem de Compra'!#REF!</definedName>
    <definedName name="data16">#REF!</definedName>
    <definedName name="data17" localSheetId="0">'Ordem de Compra'!#REF!</definedName>
    <definedName name="data17">#REF!</definedName>
    <definedName name="data18" localSheetId="0">'Ordem de Compra'!#REF!</definedName>
    <definedName name="data18">#REF!</definedName>
    <definedName name="data19" localSheetId="0">'Ordem de Compra'!#REF!</definedName>
    <definedName name="data19">#REF!</definedName>
    <definedName name="data2" localSheetId="0">'Ordem de Compra'!#REF!</definedName>
    <definedName name="data2">#REF!</definedName>
    <definedName name="data20" localSheetId="0">'Ordem de Compra'!#REF!</definedName>
    <definedName name="data20">#REF!</definedName>
    <definedName name="data21" localSheetId="0">'Ordem de Compra'!#REF!</definedName>
    <definedName name="data21">#REF!</definedName>
    <definedName name="data22" localSheetId="0">'Ordem de Compra'!#REF!</definedName>
    <definedName name="data22">#REF!</definedName>
    <definedName name="data23" localSheetId="0">'Ordem de Compra'!#REF!</definedName>
    <definedName name="data23">#REF!</definedName>
    <definedName name="data24" localSheetId="0">'Ordem de Compra'!#REF!</definedName>
    <definedName name="data24">#REF!</definedName>
    <definedName name="data25" localSheetId="0">'Ordem de Compra'!#REF!</definedName>
    <definedName name="data25">#REF!</definedName>
    <definedName name="data26" localSheetId="0">'Ordem de Compra'!#REF!</definedName>
    <definedName name="data26">#REF!</definedName>
    <definedName name="data27" localSheetId="0">'Ordem de Compra'!#REF!</definedName>
    <definedName name="data27">#REF!</definedName>
    <definedName name="data28" localSheetId="0">'Ordem de Compra'!#REF!</definedName>
    <definedName name="data28">#REF!</definedName>
    <definedName name="data29" localSheetId="0">'Ordem de Compra'!#REF!</definedName>
    <definedName name="data29">#REF!</definedName>
    <definedName name="data3" localSheetId="0">'Ordem de Compra'!#REF!</definedName>
    <definedName name="data3">#REF!</definedName>
    <definedName name="data30" localSheetId="0">'Ordem de Compra'!#REF!</definedName>
    <definedName name="data30">#REF!</definedName>
    <definedName name="data31" localSheetId="0">'Ordem de Compra'!#REF!</definedName>
    <definedName name="data31">#REF!</definedName>
    <definedName name="data32" localSheetId="0">'Ordem de Compra'!#REF!</definedName>
    <definedName name="data32">#REF!</definedName>
    <definedName name="data33" localSheetId="0">'Ordem de Compra'!#REF!</definedName>
    <definedName name="data33">#REF!</definedName>
    <definedName name="data34" localSheetId="0">'Ordem de Compra'!#REF!</definedName>
    <definedName name="data34">#REF!</definedName>
    <definedName name="data35" localSheetId="0">'Ordem de Compra'!#REF!</definedName>
    <definedName name="data35">#REF!</definedName>
    <definedName name="data36" localSheetId="0">'Ordem de Compra'!#REF!</definedName>
    <definedName name="data36">#REF!</definedName>
    <definedName name="data37" localSheetId="0">'Ordem de Compra'!#REF!</definedName>
    <definedName name="data37">#REF!</definedName>
    <definedName name="data38" localSheetId="0">'Ordem de Compra'!#REF!</definedName>
    <definedName name="data38">#REF!</definedName>
    <definedName name="data39" localSheetId="0">'Ordem de Compra'!#REF!</definedName>
    <definedName name="data39">#REF!</definedName>
    <definedName name="data4" localSheetId="0">'Ordem de Compra'!#REF!</definedName>
    <definedName name="data4">#REF!</definedName>
    <definedName name="data40" localSheetId="0">'Ordem de Compra'!#REF!</definedName>
    <definedName name="data40">#REF!</definedName>
    <definedName name="data41" localSheetId="0">'Ordem de Compra'!#REF!</definedName>
    <definedName name="data41">#REF!</definedName>
    <definedName name="data42" localSheetId="0">'Ordem de Compra'!#REF!</definedName>
    <definedName name="data42">#REF!</definedName>
    <definedName name="data43" localSheetId="0">'Ordem de Compra'!#REF!</definedName>
    <definedName name="data43">#REF!</definedName>
    <definedName name="data44" localSheetId="0">'Ordem de Compra'!#REF!</definedName>
    <definedName name="data44">#REF!</definedName>
    <definedName name="data45" localSheetId="0">'Ordem de Compra'!#REF!</definedName>
    <definedName name="data45">#REF!</definedName>
    <definedName name="data46" localSheetId="0">'Ordem de Compra'!#REF!</definedName>
    <definedName name="data46">#REF!</definedName>
    <definedName name="data47" localSheetId="0">'Ordem de Compra'!#REF!</definedName>
    <definedName name="data47">#REF!</definedName>
    <definedName name="data48" localSheetId="0">'Ordem de Compra'!#REF!</definedName>
    <definedName name="data48">#REF!</definedName>
    <definedName name="data49" localSheetId="0">'Ordem de Compra'!#REF!</definedName>
    <definedName name="data49">#REF!</definedName>
    <definedName name="data5" localSheetId="0">'Ordem de Compra'!#REF!</definedName>
    <definedName name="data5">#REF!</definedName>
    <definedName name="data50" localSheetId="0">'Ordem de Compra'!#REF!</definedName>
    <definedName name="data50">#REF!</definedName>
    <definedName name="data51" localSheetId="0">'Ordem de Compra'!#REF!</definedName>
    <definedName name="data51">#REF!</definedName>
    <definedName name="data52" localSheetId="0">'Ordem de Compra'!#REF!</definedName>
    <definedName name="data52">#REF!</definedName>
    <definedName name="data53" localSheetId="0">'Ordem de Compra'!#REF!</definedName>
    <definedName name="data53">#REF!</definedName>
    <definedName name="data54" localSheetId="0">'Ordem de Compra'!#REF!</definedName>
    <definedName name="data54">#REF!</definedName>
    <definedName name="data55" localSheetId="0">'Ordem de Compra'!#REF!</definedName>
    <definedName name="data55">#REF!</definedName>
    <definedName name="data56" localSheetId="0">'Ordem de Compra'!#REF!</definedName>
    <definedName name="data56">#REF!</definedName>
    <definedName name="data57" localSheetId="0">'Ordem de Compra'!#REF!</definedName>
    <definedName name="data57">#REF!</definedName>
    <definedName name="data58" localSheetId="0">'Ordem de Compra'!#REF!</definedName>
    <definedName name="data58">#REF!</definedName>
    <definedName name="data59" localSheetId="0">'Ordem de Compra'!#REF!</definedName>
    <definedName name="data59">#REF!</definedName>
    <definedName name="data6" localSheetId="0">'Ordem de Compra'!#REF!</definedName>
    <definedName name="data6">#REF!</definedName>
    <definedName name="data60" localSheetId="0">'Ordem de Compra'!#REF!</definedName>
    <definedName name="data60">#REF!</definedName>
    <definedName name="data61" localSheetId="0">'Ordem de Compra'!#REF!</definedName>
    <definedName name="data61">#REF!</definedName>
    <definedName name="data62" localSheetId="0">'Ordem de Compra'!#REF!</definedName>
    <definedName name="data62">#REF!</definedName>
    <definedName name="data63" localSheetId="0">'Ordem de Compra'!#REF!</definedName>
    <definedName name="data63">#REF!</definedName>
    <definedName name="data64" localSheetId="0">'Ordem de Compra'!#REF!</definedName>
    <definedName name="data64">#REF!</definedName>
    <definedName name="data65" localSheetId="0">'Ordem de Compra'!#REF!</definedName>
    <definedName name="data65">#REF!</definedName>
    <definedName name="data66" localSheetId="0">'Ordem de Compra'!#REF!</definedName>
    <definedName name="data66">#REF!</definedName>
    <definedName name="data67" localSheetId="0">'Ordem de Compra'!#REF!</definedName>
    <definedName name="data67">#REF!</definedName>
    <definedName name="data68" localSheetId="0">'Ordem de Compra'!#REF!</definedName>
    <definedName name="data68">#REF!</definedName>
    <definedName name="data69" localSheetId="0">'Ordem de Compra'!#REF!</definedName>
    <definedName name="data69">#REF!</definedName>
    <definedName name="data7" localSheetId="0">'Ordem de Compra'!#REF!</definedName>
    <definedName name="data7">#REF!</definedName>
    <definedName name="data70" localSheetId="0">'Ordem de Compra'!#REF!</definedName>
    <definedName name="data70">#REF!</definedName>
    <definedName name="data71" localSheetId="0">'Ordem de Compra'!#REF!</definedName>
    <definedName name="data71">#REF!</definedName>
    <definedName name="data72" localSheetId="0">'Ordem de Compra'!#REF!</definedName>
    <definedName name="data72">#REF!</definedName>
    <definedName name="data73" localSheetId="0">'Ordem de Compra'!#REF!</definedName>
    <definedName name="data73">#REF!</definedName>
    <definedName name="data74" localSheetId="0">'Ordem de Compra'!#REF!</definedName>
    <definedName name="data74">#REF!</definedName>
    <definedName name="data75" localSheetId="0">'Ordem de Compra'!#REF!</definedName>
    <definedName name="data75">#REF!</definedName>
    <definedName name="data76" localSheetId="0">'Ordem de Compra'!#REF!</definedName>
    <definedName name="data76">#REF!</definedName>
    <definedName name="data77" localSheetId="0">'Ordem de Compra'!#REF!</definedName>
    <definedName name="data77">#REF!</definedName>
    <definedName name="data78" localSheetId="0">'Ordem de Compra'!#REF!</definedName>
    <definedName name="data78">#REF!</definedName>
    <definedName name="data79" localSheetId="0">'Ordem de Compra'!#REF!</definedName>
    <definedName name="data79">#REF!</definedName>
    <definedName name="data8" localSheetId="0">'Ordem de Compra'!#REF!</definedName>
    <definedName name="data8">#REF!</definedName>
    <definedName name="data80" localSheetId="0">'Ordem de Compra'!#REF!</definedName>
    <definedName name="data80">#REF!</definedName>
    <definedName name="data81" localSheetId="0">'Ordem de Compra'!#REF!</definedName>
    <definedName name="data81">#REF!</definedName>
    <definedName name="data82" localSheetId="0">'Ordem de Compra'!#REF!</definedName>
    <definedName name="data82">#REF!</definedName>
    <definedName name="data83" localSheetId="0">'Ordem de Compra'!#REF!</definedName>
    <definedName name="data83">#REF!</definedName>
    <definedName name="data84" localSheetId="0">'Ordem de Compra'!#REF!</definedName>
    <definedName name="data84">#REF!</definedName>
    <definedName name="data85" localSheetId="0">'Ordem de Compra'!#REF!</definedName>
    <definedName name="data85">#REF!</definedName>
    <definedName name="data86" localSheetId="0">'Ordem de Compra'!#REF!</definedName>
    <definedName name="data86">#REF!</definedName>
    <definedName name="data87" localSheetId="0">'Ordem de Compra'!#REF!</definedName>
    <definedName name="data87">#REF!</definedName>
    <definedName name="data88" localSheetId="0">'Ordem de Compra'!#REF!</definedName>
    <definedName name="data88">#REF!</definedName>
    <definedName name="data89" localSheetId="0">'Ordem de Compra'!#REF!</definedName>
    <definedName name="data89">#REF!</definedName>
    <definedName name="data9" localSheetId="0">'Ordem de Compra'!#REF!</definedName>
    <definedName name="data9">#REF!</definedName>
    <definedName name="data90" localSheetId="0">'Ordem de Compra'!#REF!</definedName>
    <definedName name="data90">#REF!</definedName>
    <definedName name="data91" localSheetId="0">'Ordem de Compra'!#REF!</definedName>
    <definedName name="data91">#REF!</definedName>
    <definedName name="data92" localSheetId="0">'Ordem de Compra'!#REF!</definedName>
    <definedName name="data92">#REF!</definedName>
    <definedName name="data93" localSheetId="0">'Ordem de Compra'!#REF!</definedName>
    <definedName name="data93">#REF!</definedName>
    <definedName name="data94" localSheetId="0">'Ordem de Compra'!#REF!</definedName>
    <definedName name="data94">#REF!</definedName>
    <definedName name="data95" localSheetId="0">'Ordem de Compra'!#REF!</definedName>
    <definedName name="data95">#REF!</definedName>
    <definedName name="data96" localSheetId="0">'Ordem de Compra'!#REF!</definedName>
    <definedName name="data96">#REF!</definedName>
    <definedName name="data97" localSheetId="0">'Ordem de Compra'!#REF!</definedName>
    <definedName name="data97">#REF!</definedName>
    <definedName name="data98" localSheetId="0">'Ordem de Compra'!#REF!</definedName>
    <definedName name="data98">#REF!</definedName>
    <definedName name="data99" localSheetId="0">'Ordem de Compra'!#REF!</definedName>
    <definedName name="data99">#REF!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isplay_area_1">#REF!</definedName>
    <definedName name="display_area_2" localSheetId="0">'Ordem de Compra'!$B$3:$R$77</definedName>
    <definedName name="display_area_2">#REF!</definedName>
    <definedName name="LOC">#REF!</definedName>
    <definedName name="LTR">#REF!</definedName>
    <definedName name="NO" localSheetId="0">'Ordem de Compra'!#REF!</definedName>
    <definedName name="NO">#REF!</definedName>
    <definedName name="NS">#REF!</definedName>
    <definedName name="qzqzqz10" localSheetId="0">'Ordem de Compra'!#REF!</definedName>
    <definedName name="qzqzqz10">#REF!</definedName>
    <definedName name="qzqzqz11" localSheetId="0">'Ordem de Compra'!#REF!</definedName>
    <definedName name="qzqzqz11">#REF!</definedName>
    <definedName name="qzqzqz12" localSheetId="0">'Ordem de Compra'!#REF!</definedName>
    <definedName name="qzqzqz12">#REF!</definedName>
    <definedName name="qzqzqz13" localSheetId="0">'Ordem de Compra'!#REF!</definedName>
    <definedName name="qzqzqz13">#REF!</definedName>
    <definedName name="qzqzqz14" localSheetId="0">'Ordem de Compra'!#REF!</definedName>
    <definedName name="qzqzqz14">#REF!</definedName>
    <definedName name="qzqzqz15" localSheetId="0">'Ordem de Compra'!#REF!</definedName>
    <definedName name="qzqzqz15">#REF!</definedName>
    <definedName name="qzqzqz16" localSheetId="0">'Ordem de Compra'!#REF!</definedName>
    <definedName name="qzqzqz16">#REF!</definedName>
    <definedName name="qzqzqz17" localSheetId="0">'Ordem de Compra'!#REF!</definedName>
    <definedName name="qzqzqz17">#REF!</definedName>
    <definedName name="qzqzqz18" localSheetId="0">'Ordem de Compra'!#REF!</definedName>
    <definedName name="qzqzqz18">#REF!</definedName>
    <definedName name="qzqzqz19" localSheetId="0">'Ordem de Compra'!#REF!</definedName>
    <definedName name="qzqzqz19">#REF!</definedName>
    <definedName name="qzqzqz20" localSheetId="0">'Ordem de Compra'!#REF!</definedName>
    <definedName name="qzqzqz20">#REF!</definedName>
    <definedName name="qzqzqz21" localSheetId="0">'Ordem de Compra'!#REF!</definedName>
    <definedName name="qzqzqz21">#REF!</definedName>
    <definedName name="qzqzqz22" localSheetId="0">'Ordem de Compra'!#REF!</definedName>
    <definedName name="qzqzqz22">#REF!</definedName>
    <definedName name="qzqzqz23" localSheetId="0">'Ordem de Compra'!#REF!</definedName>
    <definedName name="qzqzqz23">#REF!</definedName>
    <definedName name="qzqzqz24" localSheetId="0">'Ordem de Compra'!#REF!</definedName>
    <definedName name="qzqzqz24">#REF!</definedName>
    <definedName name="qzqzqz25" localSheetId="0">'Ordem de Compra'!#REF!</definedName>
    <definedName name="qzqzqz25">#REF!</definedName>
    <definedName name="qzqzqz26" localSheetId="0">'Ordem de Compra'!#REF!</definedName>
    <definedName name="qzqzqz26">#REF!</definedName>
    <definedName name="qzqzqz27" localSheetId="0">'Ordem de Compra'!#REF!</definedName>
    <definedName name="qzqzqz27">#REF!</definedName>
    <definedName name="qzqzqz28" localSheetId="0">'Ordem de Compra'!#REF!</definedName>
    <definedName name="qzqzqz28">#REF!</definedName>
    <definedName name="qzqzqz29" localSheetId="0">'Ordem de Compra'!#REF!</definedName>
    <definedName name="qzqzqz29">#REF!</definedName>
    <definedName name="qzqzqz30" localSheetId="0">'Ordem de Compra'!#REF!</definedName>
    <definedName name="qzqzqz30">#REF!</definedName>
    <definedName name="qzqzqz31" localSheetId="0">'Ordem de Compra'!#REF!</definedName>
    <definedName name="qzqzqz31">#REF!</definedName>
    <definedName name="qzqzqz32" localSheetId="0">'Ordem de Compra'!#REF!</definedName>
    <definedName name="qzqzqz32">#REF!</definedName>
    <definedName name="qzqzqz33" localSheetId="0">'Ordem de Compra'!#REF!</definedName>
    <definedName name="qzqzqz33">#REF!</definedName>
    <definedName name="qzqzqz34" localSheetId="0">'Ordem de Compra'!#REF!</definedName>
    <definedName name="qzqzqz34">#REF!</definedName>
    <definedName name="qzqzqz35" localSheetId="0">'Ordem de Compra'!#REF!</definedName>
    <definedName name="qzqzqz35">#REF!</definedName>
    <definedName name="qzqzqz36" localSheetId="0">'Ordem de Compra'!#REF!</definedName>
    <definedName name="qzqzqz36">#REF!</definedName>
    <definedName name="qzqzqz37" localSheetId="0">'Ordem de Compra'!#REF!</definedName>
    <definedName name="qzqzqz37">#REF!</definedName>
    <definedName name="qzqzqz38" localSheetId="0">'Ordem de Compra'!#REF!</definedName>
    <definedName name="qzqzqz38">#REF!</definedName>
    <definedName name="qzqzqz39" localSheetId="0">'Ordem de Compra'!#REF!</definedName>
    <definedName name="qzqzqz39">#REF!</definedName>
    <definedName name="qzqzqz40" localSheetId="0">'Ordem de Compra'!#REF!</definedName>
    <definedName name="qzqzqz40">#REF!</definedName>
    <definedName name="qzqzqz41" localSheetId="0">'Ordem de Compra'!#REF!</definedName>
    <definedName name="qzqzqz41">#REF!</definedName>
    <definedName name="qzqzqz42" localSheetId="0">'Ordem de Compra'!#REF!</definedName>
    <definedName name="qzqzqz42">#REF!</definedName>
    <definedName name="qzqzqz43" localSheetId="0">'Ordem de Compra'!#REF!</definedName>
    <definedName name="qzqzqz43">#REF!</definedName>
    <definedName name="qzqzqz44" localSheetId="0">'Ordem de Compra'!#REF!</definedName>
    <definedName name="qzqzqz44">#REF!</definedName>
    <definedName name="qzqzqz45" localSheetId="0">'Ordem de Compra'!#REF!</definedName>
    <definedName name="qzqzqz45">#REF!</definedName>
    <definedName name="qzqzqz46" localSheetId="0">'Ordem de Compra'!#REF!</definedName>
    <definedName name="qzqzqz46">#REF!</definedName>
    <definedName name="qzqzqz47" localSheetId="0">'Ordem de Compra'!#REF!</definedName>
    <definedName name="qzqzqz47">#REF!</definedName>
    <definedName name="qzqzqz48" localSheetId="0">'Ordem de Compra'!#REF!</definedName>
    <definedName name="qzqzqz48">#REF!</definedName>
    <definedName name="qzqzqz49" localSheetId="0">'Ordem de Compra'!#REF!</definedName>
    <definedName name="qzqzqz49">#REF!</definedName>
    <definedName name="qzqzqz50" localSheetId="0">'Ordem de Compra'!#REF!</definedName>
    <definedName name="qzqzqz50">#REF!</definedName>
    <definedName name="qzqzqz51" localSheetId="0">'Ordem de Compra'!#REF!</definedName>
    <definedName name="qzqzqz51">#REF!</definedName>
    <definedName name="qzqzqz52" localSheetId="0">'Ordem de Compra'!#REF!</definedName>
    <definedName name="qzqzqz52">#REF!</definedName>
    <definedName name="qzqzqz53" localSheetId="0">'Ordem de Compra'!#REF!</definedName>
    <definedName name="qzqzqz53">#REF!</definedName>
    <definedName name="qzqzqz54" localSheetId="0">'Ordem de Compra'!#REF!</definedName>
    <definedName name="qzqzqz54">#REF!</definedName>
    <definedName name="qzqzqz55" localSheetId="0">'Ordem de Compra'!#REF!</definedName>
    <definedName name="qzqzqz55">#REF!</definedName>
    <definedName name="qzqzqz56" localSheetId="0">'Ordem de Compra'!#REF!</definedName>
    <definedName name="qzqzqz56">#REF!</definedName>
    <definedName name="qzqzqz57" localSheetId="0">'Ordem de Compra'!#REF!</definedName>
    <definedName name="qzqzqz57">#REF!</definedName>
    <definedName name="qzqzqz58" localSheetId="0">'Ordem de Compra'!#REF!</definedName>
    <definedName name="qzqzqz58">#REF!</definedName>
    <definedName name="qzqzqz59" localSheetId="0">'Ordem de Compra'!#REF!</definedName>
    <definedName name="qzqzqz59">#REF!</definedName>
    <definedName name="qzqzqz6" localSheetId="0">'Ordem de Compra'!#REF!</definedName>
    <definedName name="qzqzqz6">#REF!</definedName>
    <definedName name="qzqzqz60" localSheetId="0">'Ordem de Compra'!#REF!</definedName>
    <definedName name="qzqzqz60">#REF!</definedName>
    <definedName name="qzqzqz61" localSheetId="0">'Ordem de Compra'!#REF!</definedName>
    <definedName name="qzqzqz61">#REF!</definedName>
    <definedName name="qzqzqz7" localSheetId="0">'Ordem de Compra'!#REF!</definedName>
    <definedName name="qzqzqz7">#REF!</definedName>
    <definedName name="qzqzqz8" localSheetId="0">'Ordem de Compra'!#REF!</definedName>
    <definedName name="qzqzqz8">#REF!</definedName>
    <definedName name="qzqzqz9" localSheetId="0">'Ordem de Compra'!#REF!</definedName>
    <definedName name="qzqzqz9">#REF!</definedName>
    <definedName name="SS">#REF!</definedName>
    <definedName name="TOT" localSheetId="0">'Ordem de Compra'!#REF!</definedName>
    <definedName name="TOT">#REF!</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s>
  <calcPr calcId="15251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Q28" i="4" l="1"/>
  <c r="Q29" i="4"/>
  <c r="Q30" i="4"/>
  <c r="Q31" i="4"/>
  <c r="Q32" i="4"/>
  <c r="Q33" i="4"/>
  <c r="Q27" i="4" l="1"/>
  <c r="Q35" i="4" s="1"/>
  <c r="Q39" i="4" l="1"/>
</calcChain>
</file>

<file path=xl/sharedStrings.xml><?xml version="1.0" encoding="utf-8"?>
<sst xmlns="http://schemas.openxmlformats.org/spreadsheetml/2006/main" count="67" uniqueCount="56">
  <si>
    <t>Número:</t>
  </si>
  <si>
    <t>Data:</t>
  </si>
  <si>
    <t>Contato:</t>
  </si>
  <si>
    <t>Nome:</t>
  </si>
  <si>
    <t>Endereço:</t>
  </si>
  <si>
    <t>Cidade:</t>
  </si>
  <si>
    <t>UF:</t>
  </si>
  <si>
    <t>CEP.:</t>
  </si>
  <si>
    <t>Telefone:</t>
  </si>
  <si>
    <t>Item</t>
  </si>
  <si>
    <t>Unidade</t>
  </si>
  <si>
    <t>TOTAL</t>
  </si>
  <si>
    <t xml:space="preserve">Subtotal    </t>
  </si>
  <si>
    <t>Conta nº</t>
  </si>
  <si>
    <t>I.P.I.</t>
  </si>
  <si>
    <t>Desconto</t>
  </si>
  <si>
    <t>Garantia:</t>
  </si>
  <si>
    <t>Ano</t>
  </si>
  <si>
    <t xml:space="preserve">TOTAL    </t>
  </si>
  <si>
    <t>Departamento de Compras</t>
  </si>
  <si>
    <t xml:space="preserve">      Nome:</t>
  </si>
  <si>
    <t xml:space="preserve">  Endereço:</t>
  </si>
  <si>
    <t xml:space="preserve">  Telefone:</t>
  </si>
  <si>
    <t>Qtde</t>
  </si>
  <si>
    <t>AGENCIA</t>
  </si>
  <si>
    <t>Comprador:</t>
  </si>
  <si>
    <t>FORNECEDOR</t>
  </si>
  <si>
    <t>BANCO</t>
  </si>
  <si>
    <t>CIF</t>
  </si>
  <si>
    <t>FOB</t>
  </si>
  <si>
    <t>IMPOSTOS E FRETE INCLUSO NOS PREÇOS</t>
  </si>
  <si>
    <t>Data:             /           /            .</t>
  </si>
  <si>
    <t>2 - Horário das entregas: das 7:30 às 16:00 horas. Qualquer fornecimento fora deste horário, deverá ser comunicado antecipadamente ao Departamento de Compras.</t>
  </si>
  <si>
    <t>6 - Serão rejeitas e devolvidas as mercadorias que:</t>
  </si>
  <si>
    <t xml:space="preserve">     6.1 - Não estiverem acompanhadas por Notas Fiscais, em consonância com as disposições legais vigentes.</t>
  </si>
  <si>
    <t xml:space="preserve">     6.2 - Não estiverem de pleno acordo com todas as especificações desta Ordem de Compra ou verificado em obra.</t>
  </si>
  <si>
    <t xml:space="preserve">     8.1 - A Nota Fiscal de cobrança deverá estar de acordo conforme a lei nº 9711 de 20.11.98. O S. 100/03 INSS e/ou conforme a lei vigente a data de emissão deste Pedido.</t>
  </si>
  <si>
    <t>3 - Os fornecimentos em desacordo com esta O. C., serão recusados e colocados a disposição da fornecedora que deverá retirá-los em 24 horas. Nenhuma despesa será paga em razão da devolução.</t>
  </si>
  <si>
    <t>5 - Reservamo-nos o direito de cancelar esta Ordem de Compra total ou parcialmente, sempre que não sejam obedecidas as condições nela constantes, não procedendo       qualquer cobrança que se faça, além dos debitos originados de entregas efetivamente realizadas, aceitas e nas condições do presente.</t>
  </si>
  <si>
    <t>7 - Sempre que as mercadorias apresentarem defeitos, somente contatados após o seu recebimento, o Fornecedor deverá substituí-los sem ônus, arcando também com as despesas de mão-de-obra da retirada e recolocação, cajo já estejam aplicados, abrangendo inclusive perdas e danos causados à obra.</t>
  </si>
  <si>
    <t>9 - É de inteira responsabilidade do Fornecedor a emissão e entrega correta de Notas Fiscais Fatura, bem como os prejuízos causados por extravio e/ou não      recebimento das Notas Fiscais Fatura, entre outros, no prazo e local devido.</t>
  </si>
  <si>
    <t>11 - O Fornecedor que não atender o procedimento descrito nos itens 9 e 10 incorrerá em multa contratual no importe de 20 % (vinte por cento) sobre o valor da Ordem de Compra além de responder pelos danos de ordem moral e material caso a Contratante venha a sofrer protesto de títulos emitidos de forma indevida.</t>
  </si>
  <si>
    <t>Frete</t>
  </si>
  <si>
    <t>12 - Está ordem de compra não é valida para negociação de títulos contra terceiros. Todos os documentos fiscais de cobrança, deverão ser mantidos em carteira até sua quitação.</t>
  </si>
  <si>
    <t>13 - O não cumprimento do prazo de entrega dos serviços e ou materiais, estipulado na(s) Ordem(ns) de Compra , implicará no pagamento, pela CONTRATADA, de multa de 0,25% (vinte e cinco décimos por cento) sobre o valor total dos serviços e/ou materiais, por dia de atraso, salvo se o prazo for prorrogado pela CONTRATANTE, após a ocorrência do evento gerador do atraso, bem como em decorrência de caso fortuito ou força maior.</t>
  </si>
  <si>
    <t>14 - Será realizada a Retenção de 5%, na Medição Mensal dos Empreiteiros a Título de Garantia Contratual. A Liberação da Retenção será após o Aceite Técnico, Fiscal, Tributário e Trabalhista.</t>
  </si>
  <si>
    <t>Razão Social</t>
  </si>
  <si>
    <t>CNPJ:</t>
  </si>
  <si>
    <t xml:space="preserve">           Dados de Faturamento:</t>
  </si>
  <si>
    <t>1 - A cópia desta Ordem de Compra deverá ser assinada com o de acordo pelo fornecedor e pelo representante da TALIENG ENGENHARIA LTDA</t>
  </si>
  <si>
    <r>
      <t xml:space="preserve">4 - Toda a documentação originária deste fornecimento deverá  ser encaminhada ao </t>
    </r>
    <r>
      <rPr>
        <b/>
        <sz val="9"/>
        <rFont val="Calibri"/>
        <family val="2"/>
      </rPr>
      <t>LOCAL DE COBRANÇA</t>
    </r>
    <r>
      <rPr>
        <sz val="9"/>
        <rFont val="Calibri"/>
        <family val="2"/>
      </rPr>
      <t xml:space="preserve"> com antecedencia mínima de 15 (quinze) dias em relação ao vencimento. Caso contrário o fornecedor obriga-se a prorrogar o vencimento da mesma por mais 30 (trinta) dias.</t>
    </r>
  </si>
  <si>
    <t>TALIENG ENGENHARIA LTDA</t>
  </si>
  <si>
    <r>
      <t xml:space="preserve">8 - Para pagamento de fornecimento de prestação de serviços (mão-de-obra), deverão ser apresentadas mensalmente as guias de recolhimento de </t>
    </r>
    <r>
      <rPr>
        <b/>
        <sz val="9"/>
        <rFont val="Calibri"/>
        <family val="2"/>
      </rPr>
      <t xml:space="preserve">INSS, FGTS, ISS, FOLHA </t>
    </r>
    <r>
      <rPr>
        <sz val="9"/>
        <rFont val="Calibri"/>
        <family val="2"/>
      </rPr>
      <t xml:space="preserve">e </t>
    </r>
    <r>
      <rPr>
        <b/>
        <sz val="9"/>
        <rFont val="Calibri"/>
        <family val="2"/>
      </rPr>
      <t>RECIBO DE PAGAMENTO DE SALÁRIO</t>
    </r>
    <r>
      <rPr>
        <sz val="9"/>
        <rFont val="Calibri"/>
        <family val="2"/>
      </rPr>
      <t>, relativo ao mês anterior ao das notas fiscais, juntamente com a Nota Fiscal.</t>
    </r>
  </si>
  <si>
    <r>
      <t xml:space="preserve">10 - O fornecedor se compromete a encaminhar as notas fiscais diretamente ao setor de Gestão de Compras da contratante para conferência e posterior pagamento. No caso de </t>
    </r>
    <r>
      <rPr>
        <b/>
        <u/>
        <sz val="9"/>
        <rFont val="Calibri"/>
        <family val="2"/>
        <scheme val="minor"/>
      </rPr>
      <t>emissão de notas fiscais por meio eletrônico estas deverão ser encaminhadas ao e-mail: financeiro@talieng.com</t>
    </r>
    <r>
      <rPr>
        <sz val="9"/>
        <rFont val="Calibri"/>
        <family val="2"/>
        <scheme val="minor"/>
      </rPr>
      <t xml:space="preserve"> .Todas as notas fiscais deverão conter obrigatoriamente o nº da Ordem de Compra e descrição dos produtos e/ou serviços. </t>
    </r>
  </si>
  <si>
    <t>UNITÁRIO</t>
  </si>
  <si>
    <t xml:space="preserve">Porcelanato e materiais de assentamento </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</si>
</sst>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41" formatCode="_-* #,##0_-;\-* #,##0_-;_-* &quot;-&quot;_-;_-@_-"/>
    <numFmt numFmtId="44" formatCode="_-&quot;R$&quot;\ * #,##0.00_-;\-&quot;R$&quot;\ * #,##0.00_-;_-&quot;R$&quot;\ * &quot;-&quot;??_-;_-@_-"/>
    <numFmt numFmtId="43" formatCode="_-* #,##0.00_-;\-* #,##0.00_-;_-* &quot;-&quot;??_-;_-@_-"/>
    <numFmt numFmtId="164" formatCode="_(&quot;$&quot;* #,##0.00_);_(&quot;$&quot;* \(#,##0.00\);_(&quot;$&quot;* &quot;-&quot;??_);_(@_)"/>
    <numFmt numFmtId="165" formatCode="_-&quot;£&quot;* #,##0_-;\-&quot;£&quot;* #,##0_-;_-&quot;£&quot;* &quot;-&quot;_-;_-@_-"/>
    <numFmt numFmtId="166" formatCode="_-&quot;£&quot;* #,##0.00_-;\-&quot;£&quot;* #,##0.00_-;_-&quot;£&quot;* &quot;-&quot;??_-;_-@_-"/>
    <numFmt numFmtId="167" formatCode="&quot;R$&quot;\ #,##0.00_);\(&quot;R$ &quot;#,##0.00\)"/>
    <numFmt numFmtId="168" formatCode="&quot;R$&quot;#,##0.00"/>
    <numFmt numFmtId="169" formatCode="&quot;R$&quot;\ #,##0.00"/>
    <numFmt numFmtId="170" formatCode="0.0"/>
  </numFmts>
  <fonts count="23" x14ac:knownFonts="1">
    <font>
      <sz val="10"/>
      <name val="Arial"/>
    </font>
    <font>
      <sz val="10"/>
      <name val="Arial"/>
      <family val="2"/>
    </font>
    <font>
      <sz val="9"/>
      <name val="Calibri"/>
      <family val="2"/>
    </font>
    <font>
      <b/>
      <sz val="9"/>
      <name val="Calibri"/>
      <family val="2"/>
    </font>
    <font>
      <u/>
      <sz val="10"/>
      <color indexed="12"/>
      <name val="Arial"/>
      <family val="2"/>
    </font>
    <font>
      <sz val="10"/>
      <name val="Arial"/>
      <family val="2"/>
    </font>
    <font>
      <sz val="10"/>
      <name val="Arial"/>
      <family val="2"/>
    </font>
    <font>
      <sz val="10"/>
      <name val="Calibri"/>
      <family val="2"/>
      <scheme val="minor"/>
    </font>
    <font>
      <b/>
      <i/>
      <sz val="12"/>
      <name val="Calibri"/>
      <family val="2"/>
      <scheme val="minor"/>
    </font>
    <font>
      <b/>
      <i/>
      <sz val="10"/>
      <name val="Calibri"/>
      <family val="2"/>
      <scheme val="minor"/>
    </font>
    <font>
      <b/>
      <i/>
      <sz val="14"/>
      <name val="Calibri"/>
      <family val="2"/>
      <scheme val="minor"/>
    </font>
    <font>
      <sz val="9"/>
      <name val="Calibri"/>
      <family val="2"/>
      <scheme val="minor"/>
    </font>
    <font>
      <b/>
      <sz val="9"/>
      <name val="Calibri"/>
      <family val="2"/>
      <scheme val="minor"/>
    </font>
    <font>
      <b/>
      <sz val="8"/>
      <name val="Calibri"/>
      <family val="2"/>
      <scheme val="minor"/>
    </font>
    <font>
      <sz val="8"/>
      <name val="Calibri"/>
      <family val="2"/>
      <scheme val="minor"/>
    </font>
    <font>
      <b/>
      <sz val="10"/>
      <name val="Calibri"/>
      <family val="2"/>
      <scheme val="minor"/>
    </font>
    <font>
      <i/>
      <sz val="5"/>
      <name val="Calibri"/>
      <family val="2"/>
      <scheme val="minor"/>
    </font>
    <font>
      <sz val="10"/>
      <name val="Arial"/>
      <family val="2"/>
    </font>
    <font>
      <sz val="11"/>
      <name val="Calibri"/>
      <family val="2"/>
      <scheme val="minor"/>
    </font>
    <font>
      <b/>
      <sz val="12"/>
      <name val="Calibri"/>
      <family val="2"/>
      <scheme val="minor"/>
    </font>
    <font>
      <b/>
      <u/>
      <sz val="9"/>
      <name val="Calibri"/>
      <family val="2"/>
      <scheme val="minor"/>
    </font>
    <font>
      <i/>
      <sz val="10"/>
      <name val="Calibri"/>
      <family val="2"/>
      <scheme val="minor"/>
    </font>
    <font>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theme="1"/>
        <bgColor indexed="64"/>
      </patternFill>
    </fill>
    <fill>
      <patternFill patternType="solid">
        <fgColor theme="0"/>
        <bgColor indexed="64"/>
      </patternFill>
    </fill>
    <fill>
      <patternFill patternType="solid">
        <fgColor theme="2"/>
        <bgColor indexed="64"/>
      </patternFill>
    </fill>
  </fills>
  <borders count="41">
    <border>
      <left/>
      <right/>
      <top/>
      <bottom/>
      <diagonal/>
    </border>
    <border>
      <left/>
      <right/>
      <top/>
      <bottom style="thick">
        <color indexed="22"/>
      </bottom>
      <diagonal/>
    </border>
    <border>
      <left/>
      <right style="thick">
        <color indexed="22"/>
      </right>
      <top/>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ck">
        <color indexed="22"/>
      </right>
      <top/>
      <bottom style="thick">
        <color indexed="22"/>
      </bottom>
      <diagonal/>
    </border>
    <border>
      <left style="medium">
        <color indexed="64"/>
      </left>
      <right style="medium">
        <color indexed="64"/>
      </right>
      <top style="medium">
        <color indexed="64"/>
      </top>
      <bottom style="medium">
        <color indexed="64"/>
      </bottom>
      <diagonal/>
    </border>
    <border>
      <left/>
      <right style="hair">
        <color indexed="64"/>
      </right>
      <top style="hair">
        <color indexed="64"/>
      </top>
      <bottom style="hair">
        <color indexed="64"/>
      </bottom>
      <diagonal/>
    </border>
    <border>
      <left/>
      <right/>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right/>
      <top style="hair">
        <color theme="0" tint="-0.499984740745262"/>
      </top>
      <bottom style="hair">
        <color theme="0" tint="-0.499984740745262"/>
      </bottom>
      <diagonal/>
    </border>
    <border>
      <left/>
      <right style="thin">
        <color theme="0" tint="-0.499984740745262"/>
      </right>
      <top style="hair">
        <color theme="0" tint="-0.499984740745262"/>
      </top>
      <bottom style="hair">
        <color theme="0" tint="-0.499984740745262"/>
      </bottom>
      <diagonal/>
    </border>
    <border>
      <left/>
      <right/>
      <top style="thick">
        <color rgb="FF800000"/>
      </top>
      <bottom style="thin">
        <color rgb="FF800000"/>
      </bottom>
      <diagonal/>
    </border>
    <border>
      <left/>
      <right style="thick">
        <color indexed="22"/>
      </right>
      <top style="thick">
        <color rgb="FF800000"/>
      </top>
      <bottom style="thin">
        <color rgb="FF800000"/>
      </bottom>
      <diagonal/>
    </border>
    <border>
      <left/>
      <right/>
      <top/>
      <bottom style="thick">
        <color rgb="FF800000"/>
      </bottom>
      <diagonal/>
    </border>
    <border>
      <left/>
      <right/>
      <top style="thin">
        <color auto="1"/>
      </top>
      <bottom style="thin">
        <color auto="1"/>
      </bottom>
      <diagonal/>
    </border>
    <border>
      <left/>
      <right/>
      <top style="thin">
        <color auto="1"/>
      </top>
      <bottom/>
      <diagonal/>
    </border>
    <border>
      <left/>
      <right/>
      <top style="thin">
        <color auto="1"/>
      </top>
      <bottom style="hair">
        <color indexed="64"/>
      </bottom>
      <diagonal/>
    </border>
    <border>
      <left style="thin">
        <color auto="1"/>
      </left>
      <right style="thin">
        <color auto="1"/>
      </right>
      <top style="thin">
        <color auto="1"/>
      </top>
      <bottom style="thin">
        <color indexed="64"/>
      </bottom>
      <diagonal/>
    </border>
    <border>
      <left style="thin">
        <color auto="1"/>
      </left>
      <right/>
      <top style="thin">
        <color auto="1"/>
      </top>
      <bottom/>
      <diagonal/>
    </border>
    <border>
      <left/>
      <right style="thick">
        <color indexed="22"/>
      </right>
      <top style="thin">
        <color auto="1"/>
      </top>
      <bottom/>
      <diagonal/>
    </border>
    <border>
      <left style="thin">
        <color auto="1"/>
      </left>
      <right/>
      <top/>
      <bottom/>
      <diagonal/>
    </border>
    <border>
      <left/>
      <right/>
      <top/>
      <bottom style="hair">
        <color auto="1"/>
      </bottom>
      <diagonal/>
    </border>
    <border>
      <left style="thin">
        <color auto="1"/>
      </left>
      <right/>
      <top style="thick">
        <color rgb="FF800000"/>
      </top>
      <bottom style="thin">
        <color rgb="FF800000"/>
      </bottom>
      <diagonal/>
    </border>
    <border>
      <left/>
      <right/>
      <top style="hair">
        <color indexed="22"/>
      </top>
      <bottom style="hair">
        <color indexed="22"/>
      </bottom>
      <diagonal/>
    </border>
    <border>
      <left style="hair">
        <color indexed="64"/>
      </left>
      <right style="hair">
        <color indexed="64"/>
      </right>
      <top style="hair">
        <color indexed="64"/>
      </top>
      <bottom/>
      <diagonal/>
    </border>
    <border>
      <left/>
      <right/>
      <top style="hair">
        <color indexed="64"/>
      </top>
      <bottom/>
      <diagonal/>
    </border>
    <border>
      <left style="thin">
        <color auto="1"/>
      </left>
      <right/>
      <top/>
      <bottom style="thick">
        <color indexed="22"/>
      </bottom>
      <diagonal/>
    </border>
    <border>
      <left style="thin">
        <color auto="1"/>
      </left>
      <right style="thin">
        <color auto="1"/>
      </right>
      <top style="thin">
        <color auto="1"/>
      </top>
      <bottom style="thin">
        <color indexed="64"/>
      </bottom>
      <diagonal/>
    </border>
    <border>
      <left/>
      <right/>
      <top/>
      <bottom style="thin">
        <color indexed="64"/>
      </bottom>
      <diagonal/>
    </border>
    <border>
      <left style="thin">
        <color auto="1"/>
      </left>
      <right/>
      <top/>
      <bottom style="thin">
        <color indexed="64"/>
      </bottom>
      <diagonal/>
    </border>
    <border>
      <left/>
      <right/>
      <top style="hair">
        <color auto="1"/>
      </top>
      <bottom/>
      <diagonal/>
    </border>
    <border>
      <left style="hair">
        <color indexed="64"/>
      </left>
      <right/>
      <top/>
      <bottom/>
      <diagonal/>
    </border>
    <border>
      <left style="thin">
        <color auto="1"/>
      </left>
      <right/>
      <top style="thin">
        <color auto="1"/>
      </top>
      <bottom style="thin">
        <color indexed="64"/>
      </bottom>
      <diagonal/>
    </border>
  </borders>
  <cellStyleXfs count="12">
    <xf numFmtId="0" fontId="0" fillId="0" borderId="0"/>
    <xf numFmtId="0" fontId="4" fillId="0" borderId="0" applyNumberFormat="0" applyFill="0" applyBorder="0" applyAlignment="0" applyProtection="0">
      <alignment vertical="top"/>
      <protection locked="0"/>
    </xf>
    <xf numFmtId="41" fontId="5" fillId="0" borderId="0" applyFont="0" applyFill="0" applyBorder="0" applyAlignment="0" applyProtection="0"/>
    <xf numFmtId="41" fontId="6"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2" borderId="0"/>
    <xf numFmtId="0" fontId="1" fillId="2" borderId="0"/>
    <xf numFmtId="165" fontId="1" fillId="0" borderId="0" applyFont="0" applyFill="0" applyBorder="0" applyAlignment="0" applyProtection="0"/>
    <xf numFmtId="166" fontId="1" fillId="0" borderId="0" applyFont="0" applyFill="0" applyBorder="0" applyAlignment="0" applyProtection="0"/>
    <xf numFmtId="44" fontId="17" fillId="0" borderId="0" applyFont="0" applyFill="0" applyBorder="0" applyAlignment="0" applyProtection="0"/>
    <xf numFmtId="43" fontId="22" fillId="0" borderId="0" applyFont="0" applyFill="0" applyBorder="0" applyAlignment="0" applyProtection="0"/>
  </cellStyleXfs>
  <cellXfs count="167">
    <xf numFmtId="0" fontId="0" fillId="0" borderId="0" xfId="0"/>
    <xf numFmtId="0" fontId="7" fillId="3" borderId="2" xfId="6" applyFont="1" applyFill="1" applyBorder="1" applyAlignment="1">
      <alignment vertical="center"/>
    </xf>
    <xf numFmtId="0" fontId="12" fillId="3" borderId="3" xfId="6" applyFont="1" applyFill="1" applyBorder="1" applyAlignment="1">
      <alignment horizontal="left" vertical="center"/>
    </xf>
    <xf numFmtId="14" fontId="12" fillId="3" borderId="3" xfId="6" applyNumberFormat="1" applyFont="1" applyFill="1" applyBorder="1" applyAlignment="1">
      <alignment horizontal="left" vertical="center"/>
    </xf>
    <xf numFmtId="49" fontId="12" fillId="3" borderId="3" xfId="6" applyNumberFormat="1" applyFont="1" applyFill="1" applyBorder="1" applyAlignment="1">
      <alignment vertical="center"/>
    </xf>
    <xf numFmtId="168" fontId="11" fillId="3" borderId="4" xfId="4" applyNumberFormat="1" applyFont="1" applyFill="1" applyBorder="1" applyAlignment="1" applyProtection="1">
      <alignment horizontal="center" vertical="center"/>
      <protection locked="0"/>
    </xf>
    <xf numFmtId="168" fontId="15" fillId="3" borderId="0" xfId="4" applyNumberFormat="1" applyFont="1" applyFill="1" applyBorder="1" applyAlignment="1">
      <alignment horizontal="center" vertical="center"/>
    </xf>
    <xf numFmtId="0" fontId="7" fillId="3" borderId="1" xfId="6" applyFont="1" applyFill="1" applyBorder="1" applyAlignment="1">
      <alignment vertical="center"/>
    </xf>
    <xf numFmtId="0" fontId="7" fillId="3" borderId="6" xfId="6" applyFont="1" applyFill="1" applyBorder="1" applyAlignment="1">
      <alignment vertical="center"/>
    </xf>
    <xf numFmtId="0" fontId="7" fillId="3" borderId="2" xfId="6" applyFont="1" applyFill="1" applyBorder="1" applyAlignment="1">
      <alignment horizontal="center" vertical="center" readingOrder="1"/>
    </xf>
    <xf numFmtId="0" fontId="9" fillId="3" borderId="2" xfId="6" applyFont="1" applyFill="1" applyBorder="1" applyAlignment="1">
      <alignment horizontal="center" vertical="center" shrinkToFit="1"/>
    </xf>
    <xf numFmtId="0" fontId="9" fillId="3" borderId="2" xfId="6" applyFont="1" applyFill="1" applyBorder="1" applyAlignment="1">
      <alignment horizontal="center" vertical="center"/>
    </xf>
    <xf numFmtId="0" fontId="11" fillId="3" borderId="7" xfId="6" applyFont="1" applyFill="1" applyBorder="1" applyAlignment="1">
      <alignment horizontal="center" vertical="center"/>
    </xf>
    <xf numFmtId="167" fontId="11" fillId="3" borderId="0" xfId="4" applyNumberFormat="1" applyFont="1" applyFill="1" applyBorder="1" applyAlignment="1">
      <alignment horizontal="center" vertical="center"/>
    </xf>
    <xf numFmtId="168" fontId="11" fillId="3" borderId="0" xfId="4" applyNumberFormat="1" applyFont="1" applyFill="1" applyBorder="1" applyAlignment="1" applyProtection="1">
      <alignment horizontal="center" vertical="center"/>
      <protection locked="0"/>
    </xf>
    <xf numFmtId="0" fontId="18" fillId="3" borderId="2" xfId="6" applyFont="1" applyFill="1" applyBorder="1" applyAlignment="1">
      <alignment vertical="center"/>
    </xf>
    <xf numFmtId="168" fontId="19" fillId="3" borderId="8" xfId="4" applyNumberFormat="1" applyFont="1" applyFill="1" applyBorder="1" applyAlignment="1">
      <alignment horizontal="center" vertical="center"/>
    </xf>
    <xf numFmtId="167" fontId="19" fillId="3" borderId="4" xfId="4" applyNumberFormat="1" applyFont="1" applyFill="1" applyBorder="1" applyAlignment="1">
      <alignment horizontal="center" vertical="center"/>
    </xf>
    <xf numFmtId="0" fontId="7" fillId="3" borderId="10" xfId="6" applyFont="1" applyFill="1" applyBorder="1" applyAlignment="1">
      <alignment vertical="center"/>
    </xf>
    <xf numFmtId="0" fontId="12" fillId="3" borderId="11" xfId="6" applyFont="1" applyFill="1" applyBorder="1" applyAlignment="1">
      <alignment horizontal="right" vertical="center"/>
    </xf>
    <xf numFmtId="0" fontId="7" fillId="3" borderId="12" xfId="6" applyFont="1" applyFill="1" applyBorder="1" applyAlignment="1">
      <alignment vertical="center"/>
    </xf>
    <xf numFmtId="0" fontId="7" fillId="3" borderId="13" xfId="6" applyFont="1" applyFill="1" applyBorder="1" applyAlignment="1">
      <alignment vertical="center"/>
    </xf>
    <xf numFmtId="0" fontId="12" fillId="3" borderId="9" xfId="6" applyFont="1" applyFill="1" applyBorder="1" applyAlignment="1">
      <alignment horizontal="right" vertical="center"/>
    </xf>
    <xf numFmtId="0" fontId="12" fillId="3" borderId="9" xfId="6" applyFont="1" applyFill="1" applyBorder="1" applyAlignment="1">
      <alignment horizontal="center" vertical="center"/>
    </xf>
    <xf numFmtId="0" fontId="12" fillId="3" borderId="9" xfId="6" applyFont="1" applyFill="1" applyBorder="1" applyAlignment="1">
      <alignment horizontal="left" vertical="center"/>
    </xf>
    <xf numFmtId="14" fontId="12" fillId="3" borderId="14" xfId="6" applyNumberFormat="1" applyFont="1" applyFill="1" applyBorder="1" applyAlignment="1">
      <alignment horizontal="left" vertical="center"/>
    </xf>
    <xf numFmtId="49" fontId="12" fillId="3" borderId="9" xfId="6" applyNumberFormat="1" applyFont="1" applyFill="1" applyBorder="1" applyAlignment="1">
      <alignment horizontal="left" vertical="center"/>
    </xf>
    <xf numFmtId="0" fontId="7" fillId="3" borderId="16" xfId="6" applyFont="1" applyFill="1" applyBorder="1" applyAlignment="1">
      <alignment vertical="center"/>
    </xf>
    <xf numFmtId="0" fontId="7" fillId="3" borderId="15" xfId="6" applyFont="1" applyFill="1" applyBorder="1" applyAlignment="1">
      <alignment vertical="center"/>
    </xf>
    <xf numFmtId="0" fontId="7" fillId="3" borderId="17" xfId="6" applyFont="1" applyFill="1" applyBorder="1" applyAlignment="1">
      <alignment vertical="center"/>
    </xf>
    <xf numFmtId="0" fontId="7" fillId="3" borderId="18" xfId="6" applyFont="1" applyFill="1" applyBorder="1" applyAlignment="1">
      <alignment vertical="center"/>
    </xf>
    <xf numFmtId="49" fontId="12" fillId="3" borderId="17" xfId="6" applyNumberFormat="1" applyFont="1" applyFill="1" applyBorder="1" applyAlignment="1">
      <alignment horizontal="left" vertical="center"/>
    </xf>
    <xf numFmtId="49" fontId="12" fillId="3" borderId="18" xfId="6" applyNumberFormat="1" applyFont="1" applyFill="1" applyBorder="1" applyAlignment="1">
      <alignment horizontal="left" vertical="center"/>
    </xf>
    <xf numFmtId="0" fontId="7" fillId="3" borderId="19" xfId="6" applyFont="1" applyFill="1" applyBorder="1" applyAlignment="1">
      <alignment vertical="center"/>
    </xf>
    <xf numFmtId="0" fontId="10" fillId="3" borderId="19" xfId="6" applyFont="1" applyFill="1" applyBorder="1" applyAlignment="1">
      <alignment vertical="center"/>
    </xf>
    <xf numFmtId="0" fontId="7" fillId="3" borderId="20" xfId="6" applyFont="1" applyFill="1" applyBorder="1" applyAlignment="1">
      <alignment vertical="center"/>
    </xf>
    <xf numFmtId="0" fontId="7" fillId="4" borderId="19" xfId="6" applyFont="1" applyFill="1" applyBorder="1" applyAlignment="1">
      <alignment vertical="center"/>
    </xf>
    <xf numFmtId="0" fontId="7" fillId="3" borderId="21" xfId="6" applyFont="1" applyFill="1" applyBorder="1" applyAlignment="1">
      <alignment vertical="center"/>
    </xf>
    <xf numFmtId="22" fontId="7" fillId="3" borderId="21" xfId="6" applyNumberFormat="1" applyFont="1" applyFill="1" applyBorder="1" applyAlignment="1">
      <alignment vertical="center"/>
    </xf>
    <xf numFmtId="0" fontId="14" fillId="3" borderId="21" xfId="6" applyFont="1" applyFill="1" applyBorder="1" applyAlignment="1">
      <alignment horizontal="right" vertical="center"/>
    </xf>
    <xf numFmtId="3" fontId="18" fillId="3" borderId="23" xfId="6" applyNumberFormat="1" applyFont="1" applyFill="1" applyBorder="1" applyAlignment="1" applyProtection="1">
      <alignment horizontal="center" vertical="center"/>
      <protection locked="0"/>
    </xf>
    <xf numFmtId="4" fontId="18" fillId="3" borderId="23" xfId="6" applyNumberFormat="1" applyFont="1" applyFill="1" applyBorder="1" applyAlignment="1" applyProtection="1">
      <alignment horizontal="center" vertical="center"/>
      <protection locked="0"/>
    </xf>
    <xf numFmtId="49" fontId="18" fillId="3" borderId="23" xfId="6" applyNumberFormat="1" applyFont="1" applyFill="1" applyBorder="1" applyAlignment="1">
      <alignment horizontal="center" vertical="center"/>
    </xf>
    <xf numFmtId="44" fontId="18" fillId="3" borderId="24" xfId="6" applyNumberFormat="1" applyFont="1" applyFill="1" applyBorder="1" applyAlignment="1" applyProtection="1">
      <alignment horizontal="center" vertical="center"/>
      <protection locked="0"/>
    </xf>
    <xf numFmtId="0" fontId="15" fillId="3" borderId="16" xfId="6" applyFont="1" applyFill="1" applyBorder="1" applyAlignment="1">
      <alignment vertical="center"/>
    </xf>
    <xf numFmtId="0" fontId="15" fillId="3" borderId="17" xfId="6" applyFont="1" applyFill="1" applyBorder="1" applyAlignment="1">
      <alignment vertical="center"/>
    </xf>
    <xf numFmtId="0" fontId="7" fillId="6" borderId="25" xfId="6" applyFont="1" applyFill="1" applyBorder="1" applyAlignment="1">
      <alignment vertical="center"/>
    </xf>
    <xf numFmtId="0" fontId="12" fillId="6" borderId="25" xfId="6" applyFont="1" applyFill="1" applyBorder="1" applyAlignment="1">
      <alignment horizontal="center" vertical="center"/>
    </xf>
    <xf numFmtId="0" fontId="12" fillId="3" borderId="17" xfId="6" applyFont="1" applyFill="1" applyBorder="1" applyAlignment="1">
      <alignment horizontal="left" vertical="center"/>
    </xf>
    <xf numFmtId="0" fontId="7" fillId="3" borderId="26" xfId="6" applyFont="1" applyFill="1" applyBorder="1" applyAlignment="1">
      <alignment vertical="center"/>
    </xf>
    <xf numFmtId="0" fontId="7" fillId="3" borderId="23" xfId="6" applyFont="1" applyFill="1" applyBorder="1" applyAlignment="1">
      <alignment vertical="center"/>
    </xf>
    <xf numFmtId="0" fontId="7" fillId="3" borderId="27" xfId="6" applyFont="1" applyFill="1" applyBorder="1" applyAlignment="1">
      <alignment vertical="center"/>
    </xf>
    <xf numFmtId="0" fontId="7" fillId="4" borderId="23" xfId="6" applyFont="1" applyFill="1" applyBorder="1" applyAlignment="1">
      <alignment vertical="center"/>
    </xf>
    <xf numFmtId="0" fontId="7" fillId="3" borderId="28" xfId="6" applyFont="1" applyFill="1" applyBorder="1" applyAlignment="1">
      <alignment vertical="center"/>
    </xf>
    <xf numFmtId="0" fontId="7" fillId="3" borderId="0" xfId="6" applyFont="1" applyFill="1" applyAlignment="1">
      <alignment vertical="center"/>
    </xf>
    <xf numFmtId="0" fontId="7" fillId="4" borderId="0" xfId="6" applyFont="1" applyFill="1" applyAlignment="1">
      <alignment vertical="center"/>
    </xf>
    <xf numFmtId="0" fontId="8" fillId="3" borderId="0" xfId="6" applyFont="1" applyFill="1" applyAlignment="1">
      <alignment horizontal="right" vertical="center"/>
    </xf>
    <xf numFmtId="0" fontId="9" fillId="3" borderId="0" xfId="6" applyFont="1" applyFill="1" applyAlignment="1">
      <alignment horizontal="right" vertical="center"/>
    </xf>
    <xf numFmtId="49" fontId="8" fillId="5" borderId="29" xfId="6" applyNumberFormat="1" applyFont="1" applyFill="1" applyBorder="1" applyAlignment="1">
      <alignment vertical="center"/>
    </xf>
    <xf numFmtId="0" fontId="8" fillId="3" borderId="0" xfId="6" applyFont="1" applyFill="1" applyAlignment="1">
      <alignment vertical="center"/>
    </xf>
    <xf numFmtId="14" fontId="8" fillId="3" borderId="0" xfId="6" applyNumberFormat="1" applyFont="1" applyFill="1" applyAlignment="1">
      <alignment vertical="center"/>
    </xf>
    <xf numFmtId="0" fontId="8" fillId="3" borderId="0" xfId="6" applyFont="1" applyFill="1" applyAlignment="1">
      <alignment horizontal="left" vertical="center"/>
    </xf>
    <xf numFmtId="0" fontId="7" fillId="3" borderId="30" xfId="6" applyFont="1" applyFill="1" applyBorder="1" applyAlignment="1">
      <alignment vertical="center"/>
    </xf>
    <xf numFmtId="0" fontId="11" fillId="3" borderId="0" xfId="6" applyFont="1" applyFill="1" applyAlignment="1">
      <alignment vertical="center"/>
    </xf>
    <xf numFmtId="0" fontId="12" fillId="3" borderId="0" xfId="6" applyFont="1" applyFill="1" applyAlignment="1">
      <alignment horizontal="right" vertical="center"/>
    </xf>
    <xf numFmtId="49" fontId="12" fillId="3" borderId="31" xfId="6" applyNumberFormat="1" applyFont="1" applyFill="1" applyBorder="1" applyAlignment="1">
      <alignment horizontal="left" vertical="center"/>
    </xf>
    <xf numFmtId="49" fontId="11" fillId="3" borderId="0" xfId="6" applyNumberFormat="1" applyFont="1" applyFill="1" applyAlignment="1">
      <alignment horizontal="left" vertical="center"/>
    </xf>
    <xf numFmtId="0" fontId="12" fillId="3" borderId="0" xfId="6" applyFont="1" applyFill="1" applyAlignment="1">
      <alignment horizontal="left" vertical="center"/>
    </xf>
    <xf numFmtId="49" fontId="12" fillId="3" borderId="31" xfId="6" applyNumberFormat="1" applyFont="1" applyFill="1" applyBorder="1" applyAlignment="1">
      <alignment vertical="center"/>
    </xf>
    <xf numFmtId="49" fontId="13" fillId="3" borderId="31" xfId="6" applyNumberFormat="1" applyFont="1" applyFill="1" applyBorder="1" applyAlignment="1">
      <alignment horizontal="left" vertical="center"/>
    </xf>
    <xf numFmtId="0" fontId="12" fillId="3" borderId="31" xfId="6" applyFont="1" applyFill="1" applyBorder="1" applyAlignment="1">
      <alignment horizontal="right" vertical="center"/>
    </xf>
    <xf numFmtId="0" fontId="12" fillId="3" borderId="31" xfId="6" applyFont="1" applyFill="1" applyBorder="1" applyAlignment="1">
      <alignment vertical="center"/>
    </xf>
    <xf numFmtId="0" fontId="12" fillId="3" borderId="0" xfId="6" applyFont="1" applyFill="1" applyAlignment="1">
      <alignment horizontal="center" vertical="center"/>
    </xf>
    <xf numFmtId="0" fontId="12" fillId="3" borderId="31" xfId="6" applyFont="1" applyFill="1" applyBorder="1" applyAlignment="1">
      <alignment horizontal="left" vertical="center"/>
    </xf>
    <xf numFmtId="0" fontId="11" fillId="3" borderId="0" xfId="6" applyFont="1" applyFill="1" applyAlignment="1">
      <alignment horizontal="left" vertical="center"/>
    </xf>
    <xf numFmtId="49" fontId="12" fillId="3" borderId="0" xfId="6" applyNumberFormat="1" applyFont="1" applyFill="1" applyAlignment="1">
      <alignment horizontal="right" vertical="center"/>
    </xf>
    <xf numFmtId="0" fontId="15" fillId="3" borderId="0" xfId="6" quotePrefix="1" applyFont="1" applyFill="1" applyAlignment="1">
      <alignment horizontal="left" vertical="center"/>
    </xf>
    <xf numFmtId="2" fontId="7" fillId="3" borderId="0" xfId="6" applyNumberFormat="1" applyFont="1" applyFill="1" applyAlignment="1">
      <alignment vertical="center"/>
    </xf>
    <xf numFmtId="0" fontId="7" fillId="3" borderId="28" xfId="6" applyFont="1" applyFill="1" applyBorder="1" applyAlignment="1">
      <alignment horizontal="center" vertical="center" readingOrder="1"/>
    </xf>
    <xf numFmtId="0" fontId="7" fillId="3" borderId="0" xfId="6" applyFont="1" applyFill="1" applyAlignment="1">
      <alignment horizontal="center" vertical="center" readingOrder="1"/>
    </xf>
    <xf numFmtId="0" fontId="7" fillId="4" borderId="0" xfId="6" applyFont="1" applyFill="1" applyAlignment="1">
      <alignment horizontal="center" vertical="center" readingOrder="1"/>
    </xf>
    <xf numFmtId="0" fontId="18" fillId="3" borderId="28" xfId="6" applyFont="1" applyFill="1" applyBorder="1" applyAlignment="1">
      <alignment vertical="center"/>
    </xf>
    <xf numFmtId="0" fontId="18" fillId="3" borderId="0" xfId="6" applyFont="1" applyFill="1" applyAlignment="1">
      <alignment vertical="center"/>
    </xf>
    <xf numFmtId="0" fontId="18" fillId="4" borderId="0" xfId="6" applyFont="1" applyFill="1" applyAlignment="1">
      <alignment vertical="center"/>
    </xf>
    <xf numFmtId="0" fontId="11" fillId="3" borderId="0" xfId="6" quotePrefix="1" applyFont="1" applyFill="1" applyAlignment="1">
      <alignment horizontal="right" vertical="center"/>
    </xf>
    <xf numFmtId="0" fontId="11" fillId="3" borderId="0" xfId="6" applyFont="1" applyFill="1" applyAlignment="1">
      <alignment horizontal="center" vertical="center"/>
    </xf>
    <xf numFmtId="0" fontId="11" fillId="3" borderId="0" xfId="6" quotePrefix="1" applyFont="1" applyFill="1" applyAlignment="1">
      <alignment horizontal="center" vertical="center"/>
    </xf>
    <xf numFmtId="0" fontId="11" fillId="3" borderId="0" xfId="6" applyFont="1" applyFill="1" applyAlignment="1">
      <alignment horizontal="right" vertical="center"/>
    </xf>
    <xf numFmtId="0" fontId="11" fillId="3" borderId="0" xfId="6" applyFont="1" applyFill="1" applyAlignment="1">
      <alignment horizontal="left" vertical="center" shrinkToFit="1"/>
    </xf>
    <xf numFmtId="0" fontId="11" fillId="3" borderId="0" xfId="6" applyFont="1" applyFill="1" applyAlignment="1">
      <alignment horizontal="center" vertical="center" shrinkToFit="1"/>
    </xf>
    <xf numFmtId="49" fontId="12" fillId="3" borderId="0" xfId="6" applyNumberFormat="1" applyFont="1" applyFill="1" applyAlignment="1">
      <alignment horizontal="center" vertical="center"/>
    </xf>
    <xf numFmtId="0" fontId="11" fillId="3" borderId="0" xfId="6" quotePrefix="1" applyFont="1" applyFill="1" applyAlignment="1">
      <alignment vertical="center"/>
    </xf>
    <xf numFmtId="49" fontId="11" fillId="3" borderId="0" xfId="6" applyNumberFormat="1" applyFont="1" applyFill="1" applyAlignment="1">
      <alignment horizontal="center" vertical="center"/>
    </xf>
    <xf numFmtId="0" fontId="12" fillId="3" borderId="0" xfId="6" quotePrefix="1" applyFont="1" applyFill="1" applyAlignment="1">
      <alignment horizontal="center" vertical="center"/>
    </xf>
    <xf numFmtId="0" fontId="14" fillId="3" borderId="0" xfId="6" applyFont="1" applyFill="1" applyAlignment="1">
      <alignment vertical="center"/>
    </xf>
    <xf numFmtId="0" fontId="14" fillId="3" borderId="0" xfId="6" quotePrefix="1" applyFont="1" applyFill="1" applyAlignment="1">
      <alignment vertical="center"/>
    </xf>
    <xf numFmtId="0" fontId="7" fillId="3" borderId="0" xfId="6" applyFont="1" applyFill="1" applyAlignment="1">
      <alignment horizontal="center" vertical="center"/>
    </xf>
    <xf numFmtId="0" fontId="7" fillId="3" borderId="0" xfId="6" quotePrefix="1" applyFont="1" applyFill="1" applyAlignment="1">
      <alignment vertical="center"/>
    </xf>
    <xf numFmtId="0" fontId="15" fillId="3" borderId="0" xfId="6" quotePrefix="1" applyFont="1" applyFill="1" applyAlignment="1">
      <alignment horizontal="right" vertical="center"/>
    </xf>
    <xf numFmtId="0" fontId="7" fillId="5" borderId="0" xfId="6" applyFont="1" applyFill="1" applyAlignment="1">
      <alignment vertical="center"/>
    </xf>
    <xf numFmtId="0" fontId="9" fillId="3" borderId="0" xfId="6" applyFont="1" applyFill="1" applyAlignment="1">
      <alignment vertical="center"/>
    </xf>
    <xf numFmtId="0" fontId="9" fillId="3" borderId="0" xfId="6" applyFont="1" applyFill="1" applyAlignment="1">
      <alignment horizontal="center" vertical="center"/>
    </xf>
    <xf numFmtId="0" fontId="9" fillId="3" borderId="0" xfId="6" applyFont="1" applyFill="1" applyAlignment="1">
      <alignment horizontal="left" vertical="center"/>
    </xf>
    <xf numFmtId="49" fontId="9" fillId="3" borderId="0" xfId="6" applyNumberFormat="1" applyFont="1" applyFill="1" applyAlignment="1">
      <alignment horizontal="center" vertical="center"/>
    </xf>
    <xf numFmtId="49" fontId="9" fillId="3" borderId="0" xfId="6" applyNumberFormat="1" applyFont="1" applyFill="1" applyAlignment="1">
      <alignment horizontal="center" vertical="center" shrinkToFit="1"/>
    </xf>
    <xf numFmtId="0" fontId="9" fillId="3" borderId="0" xfId="6" applyFont="1" applyFill="1" applyAlignment="1">
      <alignment horizontal="center" vertical="center" shrinkToFit="1"/>
    </xf>
    <xf numFmtId="0" fontId="16" fillId="3" borderId="0" xfId="6" applyFont="1" applyFill="1" applyAlignment="1">
      <alignment vertical="center"/>
    </xf>
    <xf numFmtId="0" fontId="7" fillId="3" borderId="34" xfId="6" applyFont="1" applyFill="1" applyBorder="1" applyAlignment="1">
      <alignment vertical="center"/>
    </xf>
    <xf numFmtId="0" fontId="7" fillId="4" borderId="28" xfId="6" applyFont="1" applyFill="1" applyBorder="1" applyAlignment="1">
      <alignment vertical="center"/>
    </xf>
    <xf numFmtId="0" fontId="7" fillId="5" borderId="28" xfId="6" applyFont="1" applyFill="1" applyBorder="1" applyAlignment="1">
      <alignment vertical="center"/>
    </xf>
    <xf numFmtId="0" fontId="12" fillId="5" borderId="36" xfId="6" applyFont="1" applyFill="1" applyBorder="1" applyAlignment="1">
      <alignment horizontal="center" vertical="center"/>
    </xf>
    <xf numFmtId="167" fontId="19" fillId="3" borderId="32" xfId="4" applyNumberFormat="1" applyFont="1" applyFill="1" applyBorder="1" applyAlignment="1">
      <alignment horizontal="center" vertical="center"/>
    </xf>
    <xf numFmtId="4" fontId="7" fillId="3" borderId="23" xfId="6" applyNumberFormat="1" applyFont="1" applyFill="1" applyBorder="1" applyAlignment="1">
      <alignment vertical="center" wrapText="1" readingOrder="1"/>
    </xf>
    <xf numFmtId="0" fontId="12" fillId="5" borderId="37" xfId="6" applyFont="1" applyFill="1" applyBorder="1" applyAlignment="1">
      <alignment horizontal="center" vertical="center"/>
    </xf>
    <xf numFmtId="3" fontId="7" fillId="3" borderId="37" xfId="6" applyNumberFormat="1" applyFont="1" applyFill="1" applyBorder="1" applyAlignment="1" applyProtection="1">
      <alignment horizontal="center" vertical="center" readingOrder="1"/>
      <protection locked="0"/>
    </xf>
    <xf numFmtId="0" fontId="12" fillId="5" borderId="35" xfId="6" applyFont="1" applyFill="1" applyBorder="1" applyAlignment="1">
      <alignment horizontal="center" vertical="center"/>
    </xf>
    <xf numFmtId="0" fontId="7" fillId="5" borderId="35" xfId="6" applyFont="1" applyFill="1" applyBorder="1" applyAlignment="1">
      <alignment horizontal="center" vertical="center" readingOrder="1"/>
    </xf>
    <xf numFmtId="0" fontId="7" fillId="3" borderId="35" xfId="6" applyFont="1" applyFill="1" applyBorder="1" applyAlignment="1">
      <alignment horizontal="center" vertical="center"/>
    </xf>
    <xf numFmtId="170" fontId="11" fillId="3" borderId="35" xfId="6" applyNumberFormat="1" applyFont="1" applyFill="1" applyBorder="1" applyAlignment="1">
      <alignment horizontal="center" vertical="center" readingOrder="1"/>
    </xf>
    <xf numFmtId="2" fontId="18" fillId="3" borderId="35" xfId="6" applyNumberFormat="1" applyFont="1" applyFill="1" applyBorder="1" applyAlignment="1">
      <alignment horizontal="center" vertical="center"/>
    </xf>
    <xf numFmtId="169" fontId="12" fillId="5" borderId="35" xfId="6" applyNumberFormat="1" applyFont="1" applyFill="1" applyBorder="1" applyAlignment="1">
      <alignment horizontal="center" vertical="center"/>
    </xf>
    <xf numFmtId="44" fontId="11" fillId="3" borderId="35" xfId="6" applyNumberFormat="1" applyFont="1" applyFill="1" applyBorder="1" applyAlignment="1" applyProtection="1">
      <alignment horizontal="left" readingOrder="1"/>
      <protection locked="0"/>
    </xf>
    <xf numFmtId="44" fontId="7" fillId="3" borderId="35" xfId="10" applyFont="1" applyFill="1" applyBorder="1" applyAlignment="1" applyProtection="1">
      <alignment horizontal="left"/>
      <protection locked="0"/>
    </xf>
    <xf numFmtId="0" fontId="12" fillId="3" borderId="3" xfId="6" applyFont="1" applyFill="1" applyBorder="1" applyAlignment="1">
      <alignment vertical="center"/>
    </xf>
    <xf numFmtId="49" fontId="8" fillId="5" borderId="29" xfId="6" applyNumberFormat="1" applyFont="1" applyFill="1" applyBorder="1" applyAlignment="1">
      <alignment horizontal="center" vertical="center"/>
    </xf>
    <xf numFmtId="3" fontId="18" fillId="3" borderId="37" xfId="6" applyNumberFormat="1" applyFont="1" applyFill="1" applyBorder="1" applyAlignment="1" applyProtection="1">
      <alignment horizontal="center" vertical="center" readingOrder="1"/>
      <protection locked="0"/>
    </xf>
    <xf numFmtId="1" fontId="18" fillId="3" borderId="35" xfId="6" applyNumberFormat="1" applyFont="1" applyFill="1" applyBorder="1" applyAlignment="1">
      <alignment horizontal="center" vertical="center" readingOrder="1"/>
    </xf>
    <xf numFmtId="44" fontId="18" fillId="3" borderId="35" xfId="6" applyNumberFormat="1" applyFont="1" applyFill="1" applyBorder="1" applyAlignment="1" applyProtection="1">
      <alignment horizontal="center" vertical="center" readingOrder="1"/>
      <protection locked="0"/>
    </xf>
    <xf numFmtId="43" fontId="18" fillId="3" borderId="35" xfId="11" applyFont="1" applyFill="1" applyBorder="1" applyAlignment="1">
      <alignment horizontal="center" vertical="center" readingOrder="1"/>
    </xf>
    <xf numFmtId="44" fontId="18" fillId="3" borderId="35" xfId="6" applyNumberFormat="1" applyFont="1" applyFill="1" applyBorder="1" applyAlignment="1" applyProtection="1">
      <alignment horizontal="left" vertical="center" readingOrder="1"/>
      <protection locked="0"/>
    </xf>
    <xf numFmtId="0" fontId="12" fillId="3" borderId="16" xfId="6" applyFont="1" applyFill="1" applyBorder="1" applyAlignment="1">
      <alignment vertical="center"/>
    </xf>
    <xf numFmtId="0" fontId="12" fillId="3" borderId="17" xfId="6" applyFont="1" applyFill="1" applyBorder="1" applyAlignment="1">
      <alignment vertical="center"/>
    </xf>
    <xf numFmtId="3" fontId="12" fillId="3" borderId="31" xfId="6" applyNumberFormat="1" applyFont="1" applyFill="1" applyBorder="1" applyAlignment="1">
      <alignment horizontal="left" vertical="center"/>
    </xf>
    <xf numFmtId="14" fontId="9" fillId="3" borderId="0" xfId="6" applyNumberFormat="1" applyFont="1" applyFill="1" applyAlignment="1">
      <alignment horizontal="left" vertical="center"/>
    </xf>
    <xf numFmtId="49" fontId="8" fillId="5" borderId="38" xfId="6" applyNumberFormat="1" applyFont="1" applyFill="1" applyBorder="1" applyAlignment="1">
      <alignment vertical="center"/>
    </xf>
    <xf numFmtId="0" fontId="7" fillId="3" borderId="39" xfId="6" applyFont="1" applyFill="1" applyBorder="1" applyAlignment="1">
      <alignment vertical="center"/>
    </xf>
    <xf numFmtId="4" fontId="18" fillId="3" borderId="23" xfId="5" applyNumberFormat="1" applyFont="1" applyFill="1" applyBorder="1" applyAlignment="1">
      <alignment horizontal="center" vertical="center"/>
    </xf>
    <xf numFmtId="4" fontId="18" fillId="3" borderId="22" xfId="6" applyNumberFormat="1" applyFont="1" applyFill="1" applyBorder="1" applyAlignment="1">
      <alignment vertical="center" wrapText="1" readingOrder="1"/>
    </xf>
    <xf numFmtId="4" fontId="18" fillId="3" borderId="22" xfId="6" applyNumberFormat="1" applyFont="1" applyFill="1" applyBorder="1" applyAlignment="1">
      <alignment vertical="center" readingOrder="1"/>
    </xf>
    <xf numFmtId="0" fontId="7" fillId="6" borderId="40" xfId="6" applyFont="1" applyFill="1" applyBorder="1" applyAlignment="1">
      <alignment vertical="center"/>
    </xf>
    <xf numFmtId="0" fontId="7" fillId="5" borderId="0" xfId="6" applyFont="1" applyFill="1" applyAlignment="1">
      <alignment horizontal="center" vertical="center" readingOrder="1"/>
    </xf>
    <xf numFmtId="0" fontId="18" fillId="5" borderId="0" xfId="6" applyFont="1" applyFill="1" applyAlignment="1">
      <alignment vertical="center"/>
    </xf>
    <xf numFmtId="0" fontId="11" fillId="3" borderId="0" xfId="6" applyFont="1" applyFill="1" applyAlignment="1">
      <alignment horizontal="left" vertical="center" wrapText="1"/>
    </xf>
    <xf numFmtId="4" fontId="18" fillId="3" borderId="22" xfId="6" applyNumberFormat="1" applyFont="1" applyFill="1" applyBorder="1" applyAlignment="1">
      <alignment vertical="center" wrapText="1" readingOrder="1"/>
    </xf>
    <xf numFmtId="0" fontId="7" fillId="5" borderId="22" xfId="0" applyFont="1" applyFill="1" applyBorder="1" applyAlignment="1">
      <alignment vertical="top" wrapText="1"/>
    </xf>
    <xf numFmtId="0" fontId="21" fillId="5" borderId="22" xfId="0" applyFont="1" applyFill="1" applyBorder="1" applyAlignment="1">
      <alignment vertical="top" wrapText="1"/>
    </xf>
    <xf numFmtId="4" fontId="7" fillId="3" borderId="22" xfId="6" applyNumberFormat="1" applyFont="1" applyFill="1" applyBorder="1" applyAlignment="1">
      <alignment vertical="center" wrapText="1" readingOrder="1"/>
    </xf>
    <xf numFmtId="4" fontId="18" fillId="3" borderId="23" xfId="6" applyNumberFormat="1" applyFont="1" applyFill="1" applyBorder="1" applyAlignment="1">
      <alignment vertical="center" wrapText="1" readingOrder="1"/>
    </xf>
    <xf numFmtId="2" fontId="11" fillId="3" borderId="0" xfId="6" applyNumberFormat="1" applyFont="1" applyFill="1" applyAlignment="1">
      <alignment horizontal="left" vertical="center" wrapText="1"/>
    </xf>
    <xf numFmtId="0" fontId="8" fillId="3" borderId="0" xfId="6" applyFont="1" applyFill="1" applyAlignment="1">
      <alignment horizontal="right" vertical="center"/>
    </xf>
    <xf numFmtId="49" fontId="12" fillId="3" borderId="0" xfId="6" applyNumberFormat="1" applyFont="1" applyFill="1" applyAlignment="1">
      <alignment horizontal="right" vertical="center"/>
    </xf>
    <xf numFmtId="0" fontId="12" fillId="6" borderId="25" xfId="6" applyFont="1" applyFill="1" applyBorder="1" applyAlignment="1">
      <alignment horizontal="center" vertical="center"/>
    </xf>
    <xf numFmtId="0" fontId="12" fillId="3" borderId="0" xfId="6" applyFont="1" applyFill="1" applyAlignment="1">
      <alignment horizontal="center" vertical="center"/>
    </xf>
    <xf numFmtId="0" fontId="12" fillId="3" borderId="3" xfId="6" applyFont="1" applyFill="1" applyBorder="1" applyAlignment="1">
      <alignment horizontal="center" vertical="center"/>
    </xf>
    <xf numFmtId="0" fontId="11" fillId="3" borderId="3" xfId="6" applyFont="1" applyFill="1" applyBorder="1" applyAlignment="1">
      <alignment horizontal="center" vertical="center"/>
    </xf>
    <xf numFmtId="49" fontId="12" fillId="3" borderId="3" xfId="6" applyNumberFormat="1" applyFont="1" applyFill="1" applyBorder="1" applyAlignment="1">
      <alignment horizontal="center" vertical="center"/>
    </xf>
    <xf numFmtId="0" fontId="10" fillId="3" borderId="0" xfId="6" applyFont="1" applyFill="1" applyAlignment="1">
      <alignment horizontal="center" vertical="center"/>
    </xf>
    <xf numFmtId="0" fontId="11" fillId="3" borderId="0" xfId="6" applyFont="1" applyFill="1" applyAlignment="1">
      <alignment horizontal="center" vertical="center"/>
    </xf>
    <xf numFmtId="0" fontId="12" fillId="3" borderId="0" xfId="6" quotePrefix="1" applyFont="1" applyFill="1" applyAlignment="1">
      <alignment horizontal="center" vertical="center"/>
    </xf>
    <xf numFmtId="0" fontId="11" fillId="3" borderId="33" xfId="6" applyFont="1" applyFill="1" applyBorder="1" applyAlignment="1">
      <alignment horizontal="center" vertical="center"/>
    </xf>
    <xf numFmtId="0" fontId="12" fillId="3" borderId="5" xfId="6" quotePrefix="1" applyFont="1" applyFill="1" applyBorder="1" applyAlignment="1">
      <alignment horizontal="center" vertical="center"/>
    </xf>
    <xf numFmtId="0" fontId="12" fillId="3" borderId="8" xfId="6" quotePrefix="1" applyFont="1" applyFill="1" applyBorder="1" applyAlignment="1">
      <alignment horizontal="center" vertical="center"/>
    </xf>
    <xf numFmtId="0" fontId="11" fillId="3" borderId="5" xfId="6" applyFont="1" applyFill="1" applyBorder="1" applyAlignment="1">
      <alignment horizontal="center" vertical="center"/>
    </xf>
    <xf numFmtId="0" fontId="11" fillId="3" borderId="8" xfId="6" applyFont="1" applyFill="1" applyBorder="1" applyAlignment="1">
      <alignment horizontal="center" vertical="center"/>
    </xf>
    <xf numFmtId="49" fontId="12" fillId="3" borderId="31" xfId="6" applyNumberFormat="1" applyFont="1" applyFill="1" applyBorder="1" applyAlignment="1">
      <alignment horizontal="left" vertical="center"/>
    </xf>
    <xf numFmtId="49" fontId="8" fillId="5" borderId="29" xfId="6" applyNumberFormat="1" applyFont="1" applyFill="1" applyBorder="1" applyAlignment="1">
      <alignment horizontal="center" vertical="center"/>
    </xf>
    <xf numFmtId="0" fontId="7" fillId="3" borderId="0" xfId="6" applyFont="1" applyFill="1" applyAlignment="1">
      <alignment horizontal="center" vertical="center"/>
    </xf>
  </cellXfs>
  <cellStyles count="12">
    <cellStyle name="Hyperlink 2" xfId="1"/>
    <cellStyle name="Moeda" xfId="10" builtinId="4"/>
    <cellStyle name="Moeda 2" xfId="2"/>
    <cellStyle name="Moeda 3" xfId="3"/>
    <cellStyle name="Moeda_01 - MODELO" xfId="4"/>
    <cellStyle name="Moeda_PO-06 Ordem de Compra(EQ)" xfId="5"/>
    <cellStyle name="Normal" xfId="0" builtinId="0"/>
    <cellStyle name="Normal_01 - MODELO" xfId="6"/>
    <cellStyle name="Standard_Anpassen der Amortisation" xfId="7"/>
    <cellStyle name="Vírgula" xfId="11" builtinId="3"/>
    <cellStyle name="Währung [0]_Compiling Utility Macros" xfId="8"/>
    <cellStyle name="Währung_Compiling Utility Macros" xfId="9"/>
  </cellStyles>
  <dxfs count="0"/>
  <tableStyles count="0" defaultTableStyle="TableStyleMedium9" defaultPivotStyle="PivotStyleLight16"/>
  <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Drop" dropStyle="combo" dx="16" fmlaLink="data83" fmlaRange="CC" noThreeD="1" sel="0" val="0"/>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4</xdr:col>
      <xdr:colOff>457200</xdr:colOff>
      <xdr:row>35</xdr:row>
      <xdr:rowOff>57150</xdr:rowOff>
    </xdr:from>
    <xdr:to>
      <xdr:col>8</xdr:col>
      <xdr:colOff>142875</xdr:colOff>
      <xdr:row>39</xdr:row>
      <xdr:rowOff>85725</xdr:rowOff>
    </xdr:to>
    <xdr:sp macro="" textlink="">
      <xdr:nvSpPr>
        <xdr:cNvPr id="8316" name="PORDB3">
          <a:extLst>
            <a:ext uri="{FF2B5EF4-FFF2-40B4-BE49-F238E27FC236}">
              <a16:creationId xmlns="" xmlns:a16="http://schemas.microsoft.com/office/drawing/2014/main" id="{00000000-0008-0000-0000-00007C200000}"/>
            </a:ext>
          </a:extLst>
        </xdr:cNvPr>
        <xdr:cNvSpPr>
          <a:spLocks noChangeArrowheads="1"/>
        </xdr:cNvSpPr>
      </xdr:nvSpPr>
      <xdr:spPr bwMode="auto">
        <a:xfrm>
          <a:off x="2105025" y="6705600"/>
          <a:ext cx="2009775" cy="704850"/>
        </a:xfrm>
        <a:prstGeom prst="roundRect">
          <a:avLst>
            <a:gd name="adj" fmla="val 0"/>
          </a:avLst>
        </a:prstGeom>
        <a:noFill/>
        <a:ln w="9525">
          <a:solidFill>
            <a:srgbClr val="000000"/>
          </a:solidFill>
          <a:round/>
          <a:headEnd/>
          <a:tailEnd/>
        </a:ln>
      </xdr:spPr>
    </xdr:sp>
    <xdr:clientData/>
  </xdr:twoCellAnchor>
  <xdr:twoCellAnchor>
    <xdr:from>
      <xdr:col>1</xdr:col>
      <xdr:colOff>19050</xdr:colOff>
      <xdr:row>2</xdr:row>
      <xdr:rowOff>38101</xdr:rowOff>
    </xdr:from>
    <xdr:to>
      <xdr:col>7</xdr:col>
      <xdr:colOff>285750</xdr:colOff>
      <xdr:row>7</xdr:row>
      <xdr:rowOff>104776</xdr:rowOff>
    </xdr:to>
    <xdr:sp macro="" textlink="">
      <xdr:nvSpPr>
        <xdr:cNvPr id="1029" name="Text Box 5">
          <a:extLst>
            <a:ext uri="{FF2B5EF4-FFF2-40B4-BE49-F238E27FC236}">
              <a16:creationId xmlns="" xmlns:a16="http://schemas.microsoft.com/office/drawing/2014/main" id="{00000000-0008-0000-0000-000005040000}"/>
            </a:ext>
          </a:extLst>
        </xdr:cNvPr>
        <xdr:cNvSpPr txBox="1">
          <a:spLocks noChangeArrowheads="1"/>
        </xdr:cNvSpPr>
      </xdr:nvSpPr>
      <xdr:spPr bwMode="auto">
        <a:xfrm>
          <a:off x="47625" y="76201"/>
          <a:ext cx="3657600" cy="1104900"/>
        </a:xfrm>
        <a:prstGeom prst="rect">
          <a:avLst/>
        </a:prstGeom>
        <a:solidFill>
          <a:srgbClr val="FFFFFF"/>
        </a:solidFill>
        <a:ln w="9525">
          <a:noFill/>
          <a:miter lim="800000"/>
          <a:headEnd/>
          <a:tailEnd/>
        </a:ln>
      </xdr:spPr>
      <xdr:txBody>
        <a:bodyPr vertOverflow="clip" wrap="square" lIns="36576" tIns="22860" rIns="0" bIns="0" anchor="t" upright="1"/>
        <a:lstStyle/>
        <a:p>
          <a:pPr algn="l" rtl="0">
            <a:defRPr sz="1000"/>
          </a:pPr>
          <a:r>
            <a:rPr lang="pt-BR" sz="1200" b="1" i="1" u="none" strike="noStrike" baseline="0">
              <a:solidFill>
                <a:srgbClr val="000000"/>
              </a:solidFill>
              <a:latin typeface="Arial"/>
              <a:cs typeface="Arial"/>
            </a:rPr>
            <a:t>TALIENG ENGENHARIA CIVIL </a:t>
          </a:r>
          <a:endParaRPr lang="pt-BR" sz="900" b="1" i="1" u="none" strike="noStrike" baseline="0">
            <a:solidFill>
              <a:srgbClr val="000000"/>
            </a:solidFill>
            <a:latin typeface="Arial"/>
            <a:cs typeface="Arial"/>
          </a:endParaRPr>
        </a:p>
        <a:p>
          <a:pPr algn="l" rtl="0">
            <a:defRPr sz="1000"/>
          </a:pPr>
          <a:r>
            <a:rPr lang="pt-BR" sz="1000" b="0" i="0" u="none" strike="noStrike" baseline="0">
              <a:solidFill>
                <a:srgbClr val="000000"/>
              </a:solidFill>
              <a:latin typeface="Arial"/>
              <a:cs typeface="Arial"/>
            </a:rPr>
            <a:t>Rua Mal. Deodoro 2034</a:t>
          </a:r>
        </a:p>
        <a:p>
          <a:pPr algn="l" rtl="0">
            <a:defRPr sz="1000"/>
          </a:pPr>
          <a:r>
            <a:rPr lang="pt-BR" sz="1000" b="0" i="0" u="none" strike="noStrike" baseline="0">
              <a:solidFill>
                <a:srgbClr val="000000"/>
              </a:solidFill>
              <a:latin typeface="Arial"/>
              <a:cs typeface="Arial"/>
            </a:rPr>
            <a:t>Alto da XV- Curitiba-Pr  CEP: 80.045-090</a:t>
          </a:r>
        </a:p>
        <a:p>
          <a:pPr algn="l" rtl="0">
            <a:defRPr sz="1000"/>
          </a:pPr>
          <a:r>
            <a:rPr lang="pt-BR" sz="1000" b="1" i="0" u="none" strike="noStrike" baseline="0">
              <a:solidFill>
                <a:srgbClr val="000000"/>
              </a:solidFill>
              <a:latin typeface="Arial"/>
              <a:cs typeface="Arial"/>
            </a:rPr>
            <a:t>Fone</a:t>
          </a:r>
          <a:r>
            <a:rPr lang="pt-BR" sz="1000" b="0" i="0" u="none" strike="noStrike" baseline="0">
              <a:solidFill>
                <a:srgbClr val="000000"/>
              </a:solidFill>
              <a:latin typeface="Arial"/>
              <a:cs typeface="Arial"/>
            </a:rPr>
            <a:t>: (41) (41) 3149-3446 | 99501-3902 </a:t>
          </a:r>
          <a:r>
            <a:rPr lang="pt-BR" sz="1000" b="1" i="0" u="none" strike="noStrike" baseline="0">
              <a:solidFill>
                <a:srgbClr val="000000"/>
              </a:solidFill>
              <a:latin typeface="Arial"/>
              <a:cs typeface="Arial"/>
            </a:rPr>
            <a:t/>
          </a:r>
          <a:br>
            <a:rPr lang="pt-BR" sz="1000" b="1" i="0" u="none" strike="noStrike" baseline="0">
              <a:solidFill>
                <a:srgbClr val="000000"/>
              </a:solidFill>
              <a:latin typeface="Arial"/>
              <a:cs typeface="Arial"/>
            </a:rPr>
          </a:br>
          <a:r>
            <a:rPr lang="pt-BR" sz="1000" b="1" i="0" u="none" strike="noStrike" baseline="0">
              <a:solidFill>
                <a:srgbClr val="000000"/>
              </a:solidFill>
              <a:latin typeface="Arial"/>
              <a:cs typeface="Arial"/>
            </a:rPr>
            <a:t/>
          </a:r>
          <a:br>
            <a:rPr lang="pt-BR" sz="1000" b="1" i="0" u="none" strike="noStrike" baseline="0">
              <a:solidFill>
                <a:srgbClr val="000000"/>
              </a:solidFill>
              <a:latin typeface="Arial"/>
              <a:cs typeface="Arial"/>
            </a:rPr>
          </a:br>
          <a:r>
            <a:rPr lang="pt-BR" sz="1000" b="1" i="0" u="none" strike="noStrike" baseline="0">
              <a:solidFill>
                <a:srgbClr val="000000"/>
              </a:solidFill>
              <a:latin typeface="Arial"/>
              <a:cs typeface="Arial"/>
            </a:rPr>
            <a:t>E-mail NFE: </a:t>
          </a:r>
          <a:r>
            <a:rPr lang="pt-BR" sz="1000" b="0" i="0" u="none" strike="noStrike" baseline="0">
              <a:solidFill>
                <a:srgbClr val="000000"/>
              </a:solidFill>
              <a:latin typeface="Arial"/>
              <a:cs typeface="Arial"/>
            </a:rPr>
            <a:t>financeiro@talieng.com</a:t>
          </a:r>
        </a:p>
        <a:p>
          <a:pPr algn="l" rtl="0">
            <a:defRPr sz="1000"/>
          </a:pPr>
          <a:r>
            <a:rPr lang="pt-BR" sz="1000" b="1" i="0" u="none" strike="noStrike" baseline="0">
              <a:solidFill>
                <a:srgbClr val="000000"/>
              </a:solidFill>
              <a:latin typeface="Arial"/>
              <a:cs typeface="Arial"/>
            </a:rPr>
            <a:t>CNPJ. 37.589.783/0001-09</a:t>
          </a:r>
        </a:p>
      </xdr:txBody>
    </xdr:sp>
    <xdr:clientData/>
  </xdr:twoCellAnchor>
  <xdr:twoCellAnchor>
    <xdr:from>
      <xdr:col>1</xdr:col>
      <xdr:colOff>0</xdr:colOff>
      <xdr:row>10</xdr:row>
      <xdr:rowOff>76200</xdr:rowOff>
    </xdr:from>
    <xdr:to>
      <xdr:col>9</xdr:col>
      <xdr:colOff>0</xdr:colOff>
      <xdr:row>15</xdr:row>
      <xdr:rowOff>57150</xdr:rowOff>
    </xdr:to>
    <xdr:sp macro="" textlink="">
      <xdr:nvSpPr>
        <xdr:cNvPr id="8318" name="PORDB1">
          <a:extLst>
            <a:ext uri="{FF2B5EF4-FFF2-40B4-BE49-F238E27FC236}">
              <a16:creationId xmlns="" xmlns:a16="http://schemas.microsoft.com/office/drawing/2014/main" id="{00000000-0008-0000-0000-00007E200000}"/>
            </a:ext>
          </a:extLst>
        </xdr:cNvPr>
        <xdr:cNvSpPr>
          <a:spLocks noChangeArrowheads="1"/>
        </xdr:cNvSpPr>
      </xdr:nvSpPr>
      <xdr:spPr bwMode="auto">
        <a:xfrm>
          <a:off x="0" y="1657350"/>
          <a:ext cx="4552950" cy="790575"/>
        </a:xfrm>
        <a:prstGeom prst="roundRect">
          <a:avLst>
            <a:gd name="adj" fmla="val 1282"/>
          </a:avLst>
        </a:prstGeom>
        <a:noFill/>
        <a:ln w="9525">
          <a:solidFill>
            <a:srgbClr val="000000"/>
          </a:solidFill>
          <a:round/>
          <a:headEnd/>
          <a:tailEnd/>
        </a:ln>
      </xdr:spPr>
    </xdr:sp>
    <xdr:clientData/>
  </xdr:twoCellAnchor>
  <xdr:twoCellAnchor>
    <xdr:from>
      <xdr:col>2</xdr:col>
      <xdr:colOff>95250</xdr:colOff>
      <xdr:row>9</xdr:row>
      <xdr:rowOff>114300</xdr:rowOff>
    </xdr:from>
    <xdr:to>
      <xdr:col>4</xdr:col>
      <xdr:colOff>295275</xdr:colOff>
      <xdr:row>10</xdr:row>
      <xdr:rowOff>133350</xdr:rowOff>
    </xdr:to>
    <xdr:sp macro="[0]!Nada" textlink="">
      <xdr:nvSpPr>
        <xdr:cNvPr id="1033" name="PORD1">
          <a:extLst>
            <a:ext uri="{FF2B5EF4-FFF2-40B4-BE49-F238E27FC236}">
              <a16:creationId xmlns="" xmlns:a16="http://schemas.microsoft.com/office/drawing/2014/main" id="{00000000-0008-0000-0000-000009040000}"/>
            </a:ext>
          </a:extLst>
        </xdr:cNvPr>
        <xdr:cNvSpPr txBox="1">
          <a:spLocks noChangeArrowheads="1"/>
        </xdr:cNvSpPr>
      </xdr:nvSpPr>
      <xdr:spPr bwMode="auto">
        <a:xfrm>
          <a:off x="304800" y="1143000"/>
          <a:ext cx="1095375" cy="190500"/>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pt-BR" sz="900" b="1" i="0" u="none" strike="noStrike" baseline="0">
              <a:solidFill>
                <a:srgbClr val="000000"/>
              </a:solidFill>
              <a:latin typeface="Arial"/>
              <a:cs typeface="Arial"/>
            </a:rPr>
            <a:t>Local de Entrega:</a:t>
          </a:r>
        </a:p>
      </xdr:txBody>
    </xdr:sp>
    <xdr:clientData/>
  </xdr:twoCellAnchor>
  <xdr:twoCellAnchor>
    <xdr:from>
      <xdr:col>8</xdr:col>
      <xdr:colOff>228600</xdr:colOff>
      <xdr:row>35</xdr:row>
      <xdr:rowOff>47625</xdr:rowOff>
    </xdr:from>
    <xdr:to>
      <xdr:col>12</xdr:col>
      <xdr:colOff>266700</xdr:colOff>
      <xdr:row>37</xdr:row>
      <xdr:rowOff>38100</xdr:rowOff>
    </xdr:to>
    <xdr:sp macro="" textlink="">
      <xdr:nvSpPr>
        <xdr:cNvPr id="8320" name="PORDB3">
          <a:extLst>
            <a:ext uri="{FF2B5EF4-FFF2-40B4-BE49-F238E27FC236}">
              <a16:creationId xmlns="" xmlns:a16="http://schemas.microsoft.com/office/drawing/2014/main" id="{00000000-0008-0000-0000-000080200000}"/>
            </a:ext>
          </a:extLst>
        </xdr:cNvPr>
        <xdr:cNvSpPr>
          <a:spLocks noChangeArrowheads="1"/>
        </xdr:cNvSpPr>
      </xdr:nvSpPr>
      <xdr:spPr bwMode="auto">
        <a:xfrm>
          <a:off x="4200525" y="6696075"/>
          <a:ext cx="2028825" cy="333375"/>
        </a:xfrm>
        <a:prstGeom prst="roundRect">
          <a:avLst>
            <a:gd name="adj" fmla="val 0"/>
          </a:avLst>
        </a:prstGeom>
        <a:noFill/>
        <a:ln w="9525">
          <a:solidFill>
            <a:srgbClr val="000000"/>
          </a:solidFill>
          <a:round/>
          <a:headEnd/>
          <a:tailEnd/>
        </a:ln>
      </xdr:spPr>
    </xdr:sp>
    <xdr:clientData/>
  </xdr:twoCellAnchor>
  <xdr:twoCellAnchor>
    <xdr:from>
      <xdr:col>8</xdr:col>
      <xdr:colOff>247650</xdr:colOff>
      <xdr:row>38</xdr:row>
      <xdr:rowOff>19050</xdr:rowOff>
    </xdr:from>
    <xdr:to>
      <xdr:col>12</xdr:col>
      <xdr:colOff>276225</xdr:colOff>
      <xdr:row>40</xdr:row>
      <xdr:rowOff>47625</xdr:rowOff>
    </xdr:to>
    <xdr:sp macro="" textlink="">
      <xdr:nvSpPr>
        <xdr:cNvPr id="8321" name="PORDB3">
          <a:extLst>
            <a:ext uri="{FF2B5EF4-FFF2-40B4-BE49-F238E27FC236}">
              <a16:creationId xmlns="" xmlns:a16="http://schemas.microsoft.com/office/drawing/2014/main" id="{00000000-0008-0000-0000-000081200000}"/>
            </a:ext>
          </a:extLst>
        </xdr:cNvPr>
        <xdr:cNvSpPr>
          <a:spLocks noChangeArrowheads="1"/>
        </xdr:cNvSpPr>
      </xdr:nvSpPr>
      <xdr:spPr bwMode="auto">
        <a:xfrm>
          <a:off x="4219575" y="7181850"/>
          <a:ext cx="2019300" cy="352425"/>
        </a:xfrm>
        <a:prstGeom prst="roundRect">
          <a:avLst>
            <a:gd name="adj" fmla="val 0"/>
          </a:avLst>
        </a:prstGeom>
        <a:noFill/>
        <a:ln w="9525">
          <a:solidFill>
            <a:srgbClr val="000000"/>
          </a:solidFill>
          <a:round/>
          <a:headEnd/>
          <a:tailEnd/>
        </a:ln>
      </xdr:spPr>
    </xdr:sp>
    <xdr:clientData/>
  </xdr:twoCellAnchor>
  <xdr:twoCellAnchor>
    <xdr:from>
      <xdr:col>1</xdr:col>
      <xdr:colOff>9525</xdr:colOff>
      <xdr:row>48</xdr:row>
      <xdr:rowOff>114300</xdr:rowOff>
    </xdr:from>
    <xdr:to>
      <xdr:col>17</xdr:col>
      <xdr:colOff>0</xdr:colOff>
      <xdr:row>67</xdr:row>
      <xdr:rowOff>76200</xdr:rowOff>
    </xdr:to>
    <xdr:sp macro="" textlink="">
      <xdr:nvSpPr>
        <xdr:cNvPr id="8322" name="PORDB6">
          <a:extLst>
            <a:ext uri="{FF2B5EF4-FFF2-40B4-BE49-F238E27FC236}">
              <a16:creationId xmlns="" xmlns:a16="http://schemas.microsoft.com/office/drawing/2014/main" id="{00000000-0008-0000-0000-000082200000}"/>
            </a:ext>
          </a:extLst>
        </xdr:cNvPr>
        <xdr:cNvSpPr>
          <a:spLocks noChangeArrowheads="1"/>
        </xdr:cNvSpPr>
      </xdr:nvSpPr>
      <xdr:spPr bwMode="auto">
        <a:xfrm>
          <a:off x="9525" y="9410700"/>
          <a:ext cx="8924925" cy="4524375"/>
        </a:xfrm>
        <a:prstGeom prst="roundRect">
          <a:avLst>
            <a:gd name="adj" fmla="val 0"/>
          </a:avLst>
        </a:prstGeom>
        <a:noFill/>
        <a:ln w="9525">
          <a:solidFill>
            <a:srgbClr val="000000"/>
          </a:solidFill>
          <a:round/>
          <a:headEnd/>
          <a:tailEnd/>
        </a:ln>
      </xdr:spPr>
    </xdr:sp>
    <xdr:clientData/>
  </xdr:twoCellAnchor>
  <xdr:twoCellAnchor>
    <xdr:from>
      <xdr:col>1</xdr:col>
      <xdr:colOff>9525</xdr:colOff>
      <xdr:row>68</xdr:row>
      <xdr:rowOff>66675</xdr:rowOff>
    </xdr:from>
    <xdr:to>
      <xdr:col>17</xdr:col>
      <xdr:colOff>0</xdr:colOff>
      <xdr:row>75</xdr:row>
      <xdr:rowOff>0</xdr:rowOff>
    </xdr:to>
    <xdr:sp macro="" textlink="">
      <xdr:nvSpPr>
        <xdr:cNvPr id="8323" name="PORDB6">
          <a:extLst>
            <a:ext uri="{FF2B5EF4-FFF2-40B4-BE49-F238E27FC236}">
              <a16:creationId xmlns="" xmlns:a16="http://schemas.microsoft.com/office/drawing/2014/main" id="{00000000-0008-0000-0000-000083200000}"/>
            </a:ext>
          </a:extLst>
        </xdr:cNvPr>
        <xdr:cNvSpPr>
          <a:spLocks noChangeArrowheads="1"/>
        </xdr:cNvSpPr>
      </xdr:nvSpPr>
      <xdr:spPr bwMode="auto">
        <a:xfrm>
          <a:off x="9525" y="14087475"/>
          <a:ext cx="8924925" cy="981075"/>
        </a:xfrm>
        <a:prstGeom prst="roundRect">
          <a:avLst>
            <a:gd name="adj" fmla="val 0"/>
          </a:avLst>
        </a:prstGeom>
        <a:noFill/>
        <a:ln w="9525">
          <a:solidFill>
            <a:srgbClr val="000000"/>
          </a:solidFill>
          <a:round/>
          <a:headEnd/>
          <a:tailEnd/>
        </a:ln>
      </xdr:spPr>
    </xdr:sp>
    <xdr:clientData/>
  </xdr:twoCellAnchor>
  <xdr:twoCellAnchor>
    <xdr:from>
      <xdr:col>2</xdr:col>
      <xdr:colOff>19050</xdr:colOff>
      <xdr:row>71</xdr:row>
      <xdr:rowOff>19050</xdr:rowOff>
    </xdr:from>
    <xdr:to>
      <xdr:col>4</xdr:col>
      <xdr:colOff>123825</xdr:colOff>
      <xdr:row>71</xdr:row>
      <xdr:rowOff>19050</xdr:rowOff>
    </xdr:to>
    <xdr:sp macro="" textlink="">
      <xdr:nvSpPr>
        <xdr:cNvPr id="8324" name="Line 18">
          <a:extLst>
            <a:ext uri="{FF2B5EF4-FFF2-40B4-BE49-F238E27FC236}">
              <a16:creationId xmlns="" xmlns:a16="http://schemas.microsoft.com/office/drawing/2014/main" id="{00000000-0008-0000-0000-000084200000}"/>
            </a:ext>
          </a:extLst>
        </xdr:cNvPr>
        <xdr:cNvSpPr>
          <a:spLocks noChangeShapeType="1"/>
        </xdr:cNvSpPr>
      </xdr:nvSpPr>
      <xdr:spPr bwMode="auto">
        <a:xfrm>
          <a:off x="304800" y="14544675"/>
          <a:ext cx="1466850" cy="0"/>
        </a:xfrm>
        <a:prstGeom prst="line">
          <a:avLst/>
        </a:prstGeom>
        <a:noFill/>
        <a:ln w="9525">
          <a:solidFill>
            <a:srgbClr val="000000"/>
          </a:solidFill>
          <a:round/>
          <a:headEnd/>
          <a:tailEnd/>
        </a:ln>
      </xdr:spPr>
    </xdr:sp>
    <xdr:clientData/>
  </xdr:twoCellAnchor>
  <xdr:twoCellAnchor>
    <xdr:from>
      <xdr:col>9</xdr:col>
      <xdr:colOff>295275</xdr:colOff>
      <xdr:row>71</xdr:row>
      <xdr:rowOff>19050</xdr:rowOff>
    </xdr:from>
    <xdr:to>
      <xdr:col>12</xdr:col>
      <xdr:colOff>447675</xdr:colOff>
      <xdr:row>71</xdr:row>
      <xdr:rowOff>19050</xdr:rowOff>
    </xdr:to>
    <xdr:sp macro="" textlink="">
      <xdr:nvSpPr>
        <xdr:cNvPr id="8325" name="Line 19">
          <a:extLst>
            <a:ext uri="{FF2B5EF4-FFF2-40B4-BE49-F238E27FC236}">
              <a16:creationId xmlns="" xmlns:a16="http://schemas.microsoft.com/office/drawing/2014/main" id="{00000000-0008-0000-0000-000085200000}"/>
            </a:ext>
          </a:extLst>
        </xdr:cNvPr>
        <xdr:cNvSpPr>
          <a:spLocks noChangeShapeType="1"/>
        </xdr:cNvSpPr>
      </xdr:nvSpPr>
      <xdr:spPr bwMode="auto">
        <a:xfrm flipV="1">
          <a:off x="4848225" y="14544675"/>
          <a:ext cx="1562100" cy="0"/>
        </a:xfrm>
        <a:prstGeom prst="line">
          <a:avLst/>
        </a:prstGeom>
        <a:noFill/>
        <a:ln w="9525">
          <a:solidFill>
            <a:srgbClr val="000000"/>
          </a:solidFill>
          <a:round/>
          <a:headEnd/>
          <a:tailEnd/>
        </a:ln>
      </xdr:spPr>
    </xdr:sp>
    <xdr:clientData/>
  </xdr:twoCellAnchor>
  <xdr:twoCellAnchor>
    <xdr:from>
      <xdr:col>15</xdr:col>
      <xdr:colOff>30232</xdr:colOff>
      <xdr:row>71</xdr:row>
      <xdr:rowOff>9525</xdr:rowOff>
    </xdr:from>
    <xdr:to>
      <xdr:col>16</xdr:col>
      <xdr:colOff>730112</xdr:colOff>
      <xdr:row>71</xdr:row>
      <xdr:rowOff>19050</xdr:rowOff>
    </xdr:to>
    <xdr:sp macro="" textlink="">
      <xdr:nvSpPr>
        <xdr:cNvPr id="8326" name="Line 20">
          <a:extLst>
            <a:ext uri="{FF2B5EF4-FFF2-40B4-BE49-F238E27FC236}">
              <a16:creationId xmlns="" xmlns:a16="http://schemas.microsoft.com/office/drawing/2014/main" id="{00000000-0008-0000-0000-000086200000}"/>
            </a:ext>
          </a:extLst>
        </xdr:cNvPr>
        <xdr:cNvSpPr>
          <a:spLocks noChangeShapeType="1"/>
        </xdr:cNvSpPr>
      </xdr:nvSpPr>
      <xdr:spPr bwMode="auto">
        <a:xfrm>
          <a:off x="7219536" y="15408551"/>
          <a:ext cx="1799811" cy="9525"/>
        </a:xfrm>
        <a:prstGeom prst="line">
          <a:avLst/>
        </a:prstGeom>
        <a:noFill/>
        <a:ln w="9525">
          <a:solidFill>
            <a:srgbClr val="000000"/>
          </a:solidFill>
          <a:round/>
          <a:headEnd/>
          <a:tailEnd/>
        </a:ln>
      </xdr:spPr>
    </xdr:sp>
    <xdr:clientData/>
  </xdr:twoCellAnchor>
  <xdr:twoCellAnchor>
    <xdr:from>
      <xdr:col>1</xdr:col>
      <xdr:colOff>0</xdr:colOff>
      <xdr:row>40</xdr:row>
      <xdr:rowOff>38100</xdr:rowOff>
    </xdr:from>
    <xdr:to>
      <xdr:col>5</xdr:col>
      <xdr:colOff>257175</xdr:colOff>
      <xdr:row>42</xdr:row>
      <xdr:rowOff>57150</xdr:rowOff>
    </xdr:to>
    <xdr:sp macro="" textlink="">
      <xdr:nvSpPr>
        <xdr:cNvPr id="8327" name="PORDB3">
          <a:extLst>
            <a:ext uri="{FF2B5EF4-FFF2-40B4-BE49-F238E27FC236}">
              <a16:creationId xmlns="" xmlns:a16="http://schemas.microsoft.com/office/drawing/2014/main" id="{00000000-0008-0000-0000-000087200000}"/>
            </a:ext>
          </a:extLst>
        </xdr:cNvPr>
        <xdr:cNvSpPr>
          <a:spLocks noChangeArrowheads="1"/>
        </xdr:cNvSpPr>
      </xdr:nvSpPr>
      <xdr:spPr bwMode="auto">
        <a:xfrm>
          <a:off x="0" y="7524750"/>
          <a:ext cx="2486025" cy="342900"/>
        </a:xfrm>
        <a:prstGeom prst="roundRect">
          <a:avLst>
            <a:gd name="adj" fmla="val 0"/>
          </a:avLst>
        </a:prstGeom>
        <a:noFill/>
        <a:ln w="9525">
          <a:solidFill>
            <a:srgbClr val="000000"/>
          </a:solidFill>
          <a:round/>
          <a:headEnd/>
          <a:tailEnd/>
        </a:ln>
      </xdr:spPr>
    </xdr:sp>
    <xdr:clientData/>
  </xdr:twoCellAnchor>
  <xdr:twoCellAnchor>
    <xdr:from>
      <xdr:col>5</xdr:col>
      <xdr:colOff>371475</xdr:colOff>
      <xdr:row>40</xdr:row>
      <xdr:rowOff>38100</xdr:rowOff>
    </xdr:from>
    <xdr:to>
      <xdr:col>8</xdr:col>
      <xdr:colOff>142875</xdr:colOff>
      <xdr:row>42</xdr:row>
      <xdr:rowOff>66675</xdr:rowOff>
    </xdr:to>
    <xdr:sp macro="" textlink="">
      <xdr:nvSpPr>
        <xdr:cNvPr id="8328" name="PORDB3">
          <a:extLst>
            <a:ext uri="{FF2B5EF4-FFF2-40B4-BE49-F238E27FC236}">
              <a16:creationId xmlns="" xmlns:a16="http://schemas.microsoft.com/office/drawing/2014/main" id="{00000000-0008-0000-0000-000088200000}"/>
            </a:ext>
          </a:extLst>
        </xdr:cNvPr>
        <xdr:cNvSpPr>
          <a:spLocks noChangeArrowheads="1"/>
        </xdr:cNvSpPr>
      </xdr:nvSpPr>
      <xdr:spPr bwMode="auto">
        <a:xfrm>
          <a:off x="2600325" y="7524750"/>
          <a:ext cx="1514475" cy="352425"/>
        </a:xfrm>
        <a:prstGeom prst="roundRect">
          <a:avLst>
            <a:gd name="adj" fmla="val 0"/>
          </a:avLst>
        </a:prstGeom>
        <a:noFill/>
        <a:ln w="9525">
          <a:solidFill>
            <a:srgbClr val="000000"/>
          </a:solidFill>
          <a:round/>
          <a:headEnd/>
          <a:tailEnd/>
        </a:ln>
      </xdr:spPr>
    </xdr:sp>
    <xdr:clientData/>
  </xdr:twoCellAnchor>
  <xdr:twoCellAnchor>
    <xdr:from>
      <xdr:col>8</xdr:col>
      <xdr:colOff>238125</xdr:colOff>
      <xdr:row>40</xdr:row>
      <xdr:rowOff>114300</xdr:rowOff>
    </xdr:from>
    <xdr:to>
      <xdr:col>12</xdr:col>
      <xdr:colOff>285750</xdr:colOff>
      <xdr:row>42</xdr:row>
      <xdr:rowOff>57150</xdr:rowOff>
    </xdr:to>
    <xdr:sp macro="" textlink="">
      <xdr:nvSpPr>
        <xdr:cNvPr id="8329" name="PORDB3">
          <a:extLst>
            <a:ext uri="{FF2B5EF4-FFF2-40B4-BE49-F238E27FC236}">
              <a16:creationId xmlns="" xmlns:a16="http://schemas.microsoft.com/office/drawing/2014/main" id="{00000000-0008-0000-0000-000089200000}"/>
            </a:ext>
          </a:extLst>
        </xdr:cNvPr>
        <xdr:cNvSpPr>
          <a:spLocks noChangeArrowheads="1"/>
        </xdr:cNvSpPr>
      </xdr:nvSpPr>
      <xdr:spPr bwMode="auto">
        <a:xfrm>
          <a:off x="4210050" y="7600950"/>
          <a:ext cx="2038350" cy="266700"/>
        </a:xfrm>
        <a:prstGeom prst="roundRect">
          <a:avLst>
            <a:gd name="adj" fmla="val 0"/>
          </a:avLst>
        </a:prstGeom>
        <a:noFill/>
        <a:ln w="9525">
          <a:solidFill>
            <a:srgbClr val="000000"/>
          </a:solidFill>
          <a:round/>
          <a:headEnd/>
          <a:tailEnd/>
        </a:ln>
      </xdr:spPr>
    </xdr:sp>
    <xdr:clientData/>
  </xdr:twoCellAnchor>
  <xdr:twoCellAnchor>
    <xdr:from>
      <xdr:col>10</xdr:col>
      <xdr:colOff>438150</xdr:colOff>
      <xdr:row>2</xdr:row>
      <xdr:rowOff>38100</xdr:rowOff>
    </xdr:from>
    <xdr:to>
      <xdr:col>17</xdr:col>
      <xdr:colOff>38100</xdr:colOff>
      <xdr:row>3</xdr:row>
      <xdr:rowOff>228600</xdr:rowOff>
    </xdr:to>
    <xdr:sp macro="" textlink="">
      <xdr:nvSpPr>
        <xdr:cNvPr id="1051" name="Text Box 27">
          <a:extLst>
            <a:ext uri="{FF2B5EF4-FFF2-40B4-BE49-F238E27FC236}">
              <a16:creationId xmlns="" xmlns:a16="http://schemas.microsoft.com/office/drawing/2014/main" id="{00000000-0008-0000-0000-00001B040000}"/>
            </a:ext>
          </a:extLst>
        </xdr:cNvPr>
        <xdr:cNvSpPr txBox="1">
          <a:spLocks noChangeArrowheads="1"/>
        </xdr:cNvSpPr>
      </xdr:nvSpPr>
      <xdr:spPr bwMode="auto">
        <a:xfrm>
          <a:off x="5421630" y="114300"/>
          <a:ext cx="3989070" cy="365760"/>
        </a:xfrm>
        <a:prstGeom prst="rect">
          <a:avLst/>
        </a:prstGeom>
        <a:solidFill>
          <a:srgbClr val="FFFFFF"/>
        </a:solidFill>
        <a:ln w="9525">
          <a:noFill/>
          <a:miter lim="800000"/>
          <a:headEnd/>
          <a:tailEnd/>
        </a:ln>
      </xdr:spPr>
      <xdr:txBody>
        <a:bodyPr vertOverflow="clip" wrap="square" lIns="91440" tIns="45720" rIns="91440" bIns="45720" anchor="t" upright="1"/>
        <a:lstStyle/>
        <a:p>
          <a:pPr algn="l" rtl="0">
            <a:lnSpc>
              <a:spcPts val="800"/>
            </a:lnSpc>
            <a:defRPr sz="1000"/>
          </a:pPr>
          <a:r>
            <a:rPr lang="pt-BR" sz="800" b="1" i="0" u="none" strike="noStrike" baseline="0">
              <a:solidFill>
                <a:srgbClr val="000000"/>
              </a:solidFill>
              <a:latin typeface="Arial"/>
              <a:cs typeface="Arial"/>
            </a:rPr>
            <a:t>"Criando soluções de Engenharia para ligar caminhos e expandir negócios"</a:t>
          </a:r>
        </a:p>
      </xdr:txBody>
    </xdr:sp>
    <xdr:clientData/>
  </xdr:twoCellAnchor>
  <xdr:twoCellAnchor>
    <xdr:from>
      <xdr:col>1</xdr:col>
      <xdr:colOff>9525</xdr:colOff>
      <xdr:row>44</xdr:row>
      <xdr:rowOff>0</xdr:rowOff>
    </xdr:from>
    <xdr:to>
      <xdr:col>17</xdr:col>
      <xdr:colOff>0</xdr:colOff>
      <xdr:row>47</xdr:row>
      <xdr:rowOff>142875</xdr:rowOff>
    </xdr:to>
    <xdr:sp macro="" textlink="">
      <xdr:nvSpPr>
        <xdr:cNvPr id="8331" name="PORDB3">
          <a:extLst>
            <a:ext uri="{FF2B5EF4-FFF2-40B4-BE49-F238E27FC236}">
              <a16:creationId xmlns="" xmlns:a16="http://schemas.microsoft.com/office/drawing/2014/main" id="{00000000-0008-0000-0000-00008B200000}"/>
            </a:ext>
          </a:extLst>
        </xdr:cNvPr>
        <xdr:cNvSpPr>
          <a:spLocks noChangeArrowheads="1"/>
        </xdr:cNvSpPr>
      </xdr:nvSpPr>
      <xdr:spPr bwMode="auto">
        <a:xfrm>
          <a:off x="9525" y="8134350"/>
          <a:ext cx="8924925" cy="1143000"/>
        </a:xfrm>
        <a:prstGeom prst="roundRect">
          <a:avLst>
            <a:gd name="adj" fmla="val 0"/>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8332" name="PORDB2">
          <a:extLst>
            <a:ext uri="{FF2B5EF4-FFF2-40B4-BE49-F238E27FC236}">
              <a16:creationId xmlns="" xmlns:a16="http://schemas.microsoft.com/office/drawing/2014/main" id="{00000000-0008-0000-0000-00008C200000}"/>
            </a:ext>
          </a:extLst>
        </xdr:cNvPr>
        <xdr:cNvSpPr>
          <a:spLocks noChangeArrowheads="1"/>
        </xdr:cNvSpPr>
      </xdr:nvSpPr>
      <xdr:spPr bwMode="auto">
        <a:xfrm>
          <a:off x="4867275" y="1647825"/>
          <a:ext cx="4067175" cy="800100"/>
        </a:xfrm>
        <a:prstGeom prst="roundRect">
          <a:avLst>
            <a:gd name="adj" fmla="val 1264"/>
          </a:avLst>
        </a:prstGeom>
        <a:noFill/>
        <a:ln w="9525">
          <a:solidFill>
            <a:srgbClr val="000000"/>
          </a:solidFill>
          <a:round/>
          <a:headEnd/>
          <a:tailEnd/>
        </a:ln>
      </xdr:spPr>
    </xdr:sp>
    <xdr:clientData/>
  </xdr:twoCellAnchor>
  <xdr:twoCellAnchor>
    <xdr:from>
      <xdr:col>10</xdr:col>
      <xdr:colOff>295275</xdr:colOff>
      <xdr:row>9</xdr:row>
      <xdr:rowOff>104775</xdr:rowOff>
    </xdr:from>
    <xdr:to>
      <xdr:col>11</xdr:col>
      <xdr:colOff>514350</xdr:colOff>
      <xdr:row>10</xdr:row>
      <xdr:rowOff>133350</xdr:rowOff>
    </xdr:to>
    <xdr:sp macro="[0]!Nada" textlink="">
      <xdr:nvSpPr>
        <xdr:cNvPr id="1032" name="PORD2">
          <a:extLst>
            <a:ext uri="{FF2B5EF4-FFF2-40B4-BE49-F238E27FC236}">
              <a16:creationId xmlns="" xmlns:a16="http://schemas.microsoft.com/office/drawing/2014/main" id="{00000000-0008-0000-0000-000008040000}"/>
            </a:ext>
          </a:extLst>
        </xdr:cNvPr>
        <xdr:cNvSpPr txBox="1">
          <a:spLocks noChangeArrowheads="1"/>
        </xdr:cNvSpPr>
      </xdr:nvSpPr>
      <xdr:spPr bwMode="auto">
        <a:xfrm>
          <a:off x="4886325" y="1133475"/>
          <a:ext cx="800100" cy="200025"/>
        </a:xfrm>
        <a:prstGeom prst="rect">
          <a:avLst/>
        </a:prstGeom>
        <a:solidFill>
          <a:srgbClr val="FFFFFF"/>
        </a:solidFill>
        <a:ln w="1">
          <a:noFill/>
          <a:miter lim="800000"/>
          <a:headEnd/>
          <a:tailEnd/>
        </a:ln>
      </xdr:spPr>
      <xdr:txBody>
        <a:bodyPr vertOverflow="clip" wrap="square" lIns="27432" tIns="18288" rIns="27432" bIns="0" anchor="t" upright="1"/>
        <a:lstStyle/>
        <a:p>
          <a:pPr algn="ctr" rtl="0">
            <a:defRPr sz="1000"/>
          </a:pPr>
          <a:r>
            <a:rPr lang="pt-BR" sz="900" b="1" i="0" u="none" strike="noStrike" baseline="0">
              <a:solidFill>
                <a:srgbClr val="000000"/>
              </a:solidFill>
              <a:latin typeface="Arial"/>
              <a:cs typeface="Arial"/>
            </a:rPr>
            <a:t>Fornecedor:</a:t>
          </a:r>
        </a:p>
      </xdr:txBody>
    </xdr:sp>
    <xdr:clientData/>
  </xdr:twoCellAnchor>
  <xdr:twoCellAnchor>
    <xdr:from>
      <xdr:col>13</xdr:col>
      <xdr:colOff>76200</xdr:colOff>
      <xdr:row>7</xdr:row>
      <xdr:rowOff>9525</xdr:rowOff>
    </xdr:from>
    <xdr:to>
      <xdr:col>16</xdr:col>
      <xdr:colOff>1047750</xdr:colOff>
      <xdr:row>9</xdr:row>
      <xdr:rowOff>142875</xdr:rowOff>
    </xdr:to>
    <xdr:sp macro="" textlink="">
      <xdr:nvSpPr>
        <xdr:cNvPr id="29" name="CaixaDeTexto 28">
          <a:extLst>
            <a:ext uri="{FF2B5EF4-FFF2-40B4-BE49-F238E27FC236}">
              <a16:creationId xmlns="" xmlns:a16="http://schemas.microsoft.com/office/drawing/2014/main" id="{00000000-0008-0000-0000-00001D000000}"/>
            </a:ext>
          </a:extLst>
        </xdr:cNvPr>
        <xdr:cNvSpPr txBox="1"/>
      </xdr:nvSpPr>
      <xdr:spPr>
        <a:xfrm>
          <a:off x="6715125" y="1085850"/>
          <a:ext cx="2247900" cy="3238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600" b="1" i="1">
              <a:latin typeface="Arial" pitchFamily="34" charset="0"/>
              <a:cs typeface="Arial" pitchFamily="34" charset="0"/>
            </a:rPr>
            <a:t>ORDEM DE COMPRA</a:t>
          </a:r>
        </a:p>
      </xdr:txBody>
    </xdr:sp>
    <xdr:clientData/>
  </xdr:twoCellAnchor>
  <xdr:twoCellAnchor>
    <xdr:from>
      <xdr:col>4</xdr:col>
      <xdr:colOff>495301</xdr:colOff>
      <xdr:row>34</xdr:row>
      <xdr:rowOff>104775</xdr:rowOff>
    </xdr:from>
    <xdr:to>
      <xdr:col>8</xdr:col>
      <xdr:colOff>114301</xdr:colOff>
      <xdr:row>35</xdr:row>
      <xdr:rowOff>123825</xdr:rowOff>
    </xdr:to>
    <xdr:sp macro="" textlink="">
      <xdr:nvSpPr>
        <xdr:cNvPr id="30" name="CaixaDeTexto 29">
          <a:extLst>
            <a:ext uri="{FF2B5EF4-FFF2-40B4-BE49-F238E27FC236}">
              <a16:creationId xmlns="" xmlns:a16="http://schemas.microsoft.com/office/drawing/2014/main" id="{00000000-0008-0000-0000-00001E000000}"/>
            </a:ext>
          </a:extLst>
        </xdr:cNvPr>
        <xdr:cNvSpPr txBox="1"/>
      </xdr:nvSpPr>
      <xdr:spPr>
        <a:xfrm>
          <a:off x="2171701" y="7115175"/>
          <a:ext cx="194310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000" b="1" i="1">
              <a:latin typeface="+mn-lt"/>
              <a:cs typeface="Arial" pitchFamily="34" charset="0"/>
            </a:rPr>
            <a:t>DETALHE</a:t>
          </a:r>
          <a:r>
            <a:rPr lang="pt-BR" sz="1000" b="1" i="1" baseline="0">
              <a:latin typeface="+mn-lt"/>
              <a:cs typeface="Arial" pitchFamily="34" charset="0"/>
            </a:rPr>
            <a:t> SOBRE O PAGAMENTO:</a:t>
          </a:r>
          <a:endParaRPr lang="pt-BR" sz="1000" b="1" i="1">
            <a:latin typeface="+mn-lt"/>
            <a:cs typeface="Arial" pitchFamily="34" charset="0"/>
          </a:endParaRPr>
        </a:p>
      </xdr:txBody>
    </xdr:sp>
    <xdr:clientData/>
  </xdr:twoCellAnchor>
  <xdr:twoCellAnchor>
    <xdr:from>
      <xdr:col>8</xdr:col>
      <xdr:colOff>304800</xdr:colOff>
      <xdr:row>34</xdr:row>
      <xdr:rowOff>85725</xdr:rowOff>
    </xdr:from>
    <xdr:to>
      <xdr:col>11</xdr:col>
      <xdr:colOff>485775</xdr:colOff>
      <xdr:row>35</xdr:row>
      <xdr:rowOff>152400</xdr:rowOff>
    </xdr:to>
    <xdr:sp macro="" textlink="">
      <xdr:nvSpPr>
        <xdr:cNvPr id="31" name="CaixaDeTexto 30">
          <a:extLst>
            <a:ext uri="{FF2B5EF4-FFF2-40B4-BE49-F238E27FC236}">
              <a16:creationId xmlns="" xmlns:a16="http://schemas.microsoft.com/office/drawing/2014/main" id="{00000000-0008-0000-0000-00001F000000}"/>
            </a:ext>
          </a:extLst>
        </xdr:cNvPr>
        <xdr:cNvSpPr txBox="1"/>
      </xdr:nvSpPr>
      <xdr:spPr>
        <a:xfrm>
          <a:off x="4305300" y="10639425"/>
          <a:ext cx="16573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000" b="1" i="1">
              <a:latin typeface="+mn-lt"/>
              <a:cs typeface="Arial" pitchFamily="34" charset="0"/>
            </a:rPr>
            <a:t>FORMA</a:t>
          </a:r>
          <a:r>
            <a:rPr lang="pt-BR" sz="1000" b="1" i="1" baseline="0">
              <a:latin typeface="+mn-lt"/>
              <a:cs typeface="Arial" pitchFamily="34" charset="0"/>
            </a:rPr>
            <a:t> DE PAGAMENTO:</a:t>
          </a:r>
          <a:endParaRPr lang="pt-BR" sz="1000" b="1" i="1">
            <a:latin typeface="+mn-lt"/>
            <a:cs typeface="Arial" pitchFamily="34" charset="0"/>
          </a:endParaRPr>
        </a:p>
      </xdr:txBody>
    </xdr:sp>
    <xdr:clientData/>
  </xdr:twoCellAnchor>
  <xdr:twoCellAnchor>
    <xdr:from>
      <xdr:col>8</xdr:col>
      <xdr:colOff>323850</xdr:colOff>
      <xdr:row>37</xdr:row>
      <xdr:rowOff>57150</xdr:rowOff>
    </xdr:from>
    <xdr:to>
      <xdr:col>11</xdr:col>
      <xdr:colOff>504825</xdr:colOff>
      <xdr:row>38</xdr:row>
      <xdr:rowOff>123825</xdr:rowOff>
    </xdr:to>
    <xdr:sp macro="" textlink="">
      <xdr:nvSpPr>
        <xdr:cNvPr id="32" name="CaixaDeTexto 31">
          <a:extLst>
            <a:ext uri="{FF2B5EF4-FFF2-40B4-BE49-F238E27FC236}">
              <a16:creationId xmlns="" xmlns:a16="http://schemas.microsoft.com/office/drawing/2014/main" id="{00000000-0008-0000-0000-000020000000}"/>
            </a:ext>
          </a:extLst>
        </xdr:cNvPr>
        <xdr:cNvSpPr txBox="1"/>
      </xdr:nvSpPr>
      <xdr:spPr>
        <a:xfrm>
          <a:off x="4324350" y="11096625"/>
          <a:ext cx="16573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000" b="1" i="1">
              <a:latin typeface="+mn-lt"/>
              <a:cs typeface="Arial" pitchFamily="34" charset="0"/>
            </a:rPr>
            <a:t>CONDIÇÕES DE ENTREGA:</a:t>
          </a:r>
        </a:p>
      </xdr:txBody>
    </xdr:sp>
    <xdr:clientData/>
  </xdr:twoCellAnchor>
  <xdr:twoCellAnchor>
    <xdr:from>
      <xdr:col>1</xdr:col>
      <xdr:colOff>238125</xdr:colOff>
      <xdr:row>39</xdr:row>
      <xdr:rowOff>104774</xdr:rowOff>
    </xdr:from>
    <xdr:to>
      <xdr:col>5</xdr:col>
      <xdr:colOff>76200</xdr:colOff>
      <xdr:row>40</xdr:row>
      <xdr:rowOff>123824</xdr:rowOff>
    </xdr:to>
    <xdr:sp macro="" textlink="">
      <xdr:nvSpPr>
        <xdr:cNvPr id="33" name="CaixaDeTexto 32">
          <a:extLst>
            <a:ext uri="{FF2B5EF4-FFF2-40B4-BE49-F238E27FC236}">
              <a16:creationId xmlns="" xmlns:a16="http://schemas.microsoft.com/office/drawing/2014/main" id="{00000000-0008-0000-0000-000021000000}"/>
            </a:ext>
          </a:extLst>
        </xdr:cNvPr>
        <xdr:cNvSpPr txBox="1"/>
      </xdr:nvSpPr>
      <xdr:spPr>
        <a:xfrm>
          <a:off x="266700" y="11468099"/>
          <a:ext cx="2066925"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000" b="1" i="1">
              <a:latin typeface="+mn-lt"/>
              <a:cs typeface="Arial" pitchFamily="34" charset="0"/>
            </a:rPr>
            <a:t>CONTRATO DE EMPREITEIRO:</a:t>
          </a:r>
        </a:p>
      </xdr:txBody>
    </xdr:sp>
    <xdr:clientData/>
  </xdr:twoCellAnchor>
  <xdr:twoCellAnchor>
    <xdr:from>
      <xdr:col>6</xdr:col>
      <xdr:colOff>57150</xdr:colOff>
      <xdr:row>39</xdr:row>
      <xdr:rowOff>104773</xdr:rowOff>
    </xdr:from>
    <xdr:to>
      <xdr:col>7</xdr:col>
      <xdr:colOff>533400</xdr:colOff>
      <xdr:row>40</xdr:row>
      <xdr:rowOff>133349</xdr:rowOff>
    </xdr:to>
    <xdr:sp macro="" textlink="">
      <xdr:nvSpPr>
        <xdr:cNvPr id="34" name="CaixaDeTexto 33">
          <a:extLst>
            <a:ext uri="{FF2B5EF4-FFF2-40B4-BE49-F238E27FC236}">
              <a16:creationId xmlns="" xmlns:a16="http://schemas.microsoft.com/office/drawing/2014/main" id="{00000000-0008-0000-0000-000022000000}"/>
            </a:ext>
          </a:extLst>
        </xdr:cNvPr>
        <xdr:cNvSpPr txBox="1"/>
      </xdr:nvSpPr>
      <xdr:spPr>
        <a:xfrm>
          <a:off x="2895600" y="11468098"/>
          <a:ext cx="1057275"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000" b="1" i="1">
              <a:latin typeface="+mn-lt"/>
              <a:cs typeface="Arial" pitchFamily="34" charset="0"/>
            </a:rPr>
            <a:t>C.E.I.</a:t>
          </a:r>
          <a:r>
            <a:rPr lang="pt-BR" sz="1000" b="1" i="1" baseline="0">
              <a:latin typeface="+mn-lt"/>
              <a:cs typeface="Arial" pitchFamily="34" charset="0"/>
            </a:rPr>
            <a:t> DA OBRA:</a:t>
          </a:r>
          <a:endParaRPr lang="pt-BR" sz="1000" b="1" i="1">
            <a:latin typeface="+mn-lt"/>
            <a:cs typeface="Arial" pitchFamily="34" charset="0"/>
          </a:endParaRPr>
        </a:p>
      </xdr:txBody>
    </xdr:sp>
    <xdr:clientData/>
  </xdr:twoCellAnchor>
  <xdr:twoCellAnchor>
    <xdr:from>
      <xdr:col>1</xdr:col>
      <xdr:colOff>19051</xdr:colOff>
      <xdr:row>42</xdr:row>
      <xdr:rowOff>123825</xdr:rowOff>
    </xdr:from>
    <xdr:to>
      <xdr:col>3</xdr:col>
      <xdr:colOff>142875</xdr:colOff>
      <xdr:row>43</xdr:row>
      <xdr:rowOff>133350</xdr:rowOff>
    </xdr:to>
    <xdr:sp macro="" textlink="">
      <xdr:nvSpPr>
        <xdr:cNvPr id="35" name="CaixaDeTexto 34">
          <a:extLst>
            <a:ext uri="{FF2B5EF4-FFF2-40B4-BE49-F238E27FC236}">
              <a16:creationId xmlns="" xmlns:a16="http://schemas.microsoft.com/office/drawing/2014/main" id="{00000000-0008-0000-0000-000023000000}"/>
            </a:ext>
          </a:extLst>
        </xdr:cNvPr>
        <xdr:cNvSpPr txBox="1"/>
      </xdr:nvSpPr>
      <xdr:spPr>
        <a:xfrm>
          <a:off x="47626" y="8458200"/>
          <a:ext cx="1257299" cy="171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000" b="1" i="1">
              <a:latin typeface="+mn-lt"/>
              <a:cs typeface="Arial" pitchFamily="34" charset="0"/>
            </a:rPr>
            <a:t>OBSERVAÇÃO:</a:t>
          </a:r>
        </a:p>
      </xdr:txBody>
    </xdr:sp>
    <xdr:clientData/>
  </xdr:twoCellAnchor>
  <xdr:twoCellAnchor>
    <xdr:from>
      <xdr:col>2</xdr:col>
      <xdr:colOff>809624</xdr:colOff>
      <xdr:row>42</xdr:row>
      <xdr:rowOff>133350</xdr:rowOff>
    </xdr:from>
    <xdr:to>
      <xdr:col>15</xdr:col>
      <xdr:colOff>219075</xdr:colOff>
      <xdr:row>43</xdr:row>
      <xdr:rowOff>152400</xdr:rowOff>
    </xdr:to>
    <xdr:sp macro="" textlink="">
      <xdr:nvSpPr>
        <xdr:cNvPr id="36" name="CaixaDeTexto 35">
          <a:extLst>
            <a:ext uri="{FF2B5EF4-FFF2-40B4-BE49-F238E27FC236}">
              <a16:creationId xmlns="" xmlns:a16="http://schemas.microsoft.com/office/drawing/2014/main" id="{00000000-0008-0000-0000-000024000000}"/>
            </a:ext>
          </a:extLst>
        </xdr:cNvPr>
        <xdr:cNvSpPr txBox="1"/>
      </xdr:nvSpPr>
      <xdr:spPr>
        <a:xfrm>
          <a:off x="1123949" y="8467725"/>
          <a:ext cx="6096001"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pt-BR" sz="1000" b="1" i="1">
              <a:latin typeface="+mn-lt"/>
              <a:cs typeface="Arial" pitchFamily="34" charset="0"/>
            </a:rPr>
            <a:t>ESTA ORDEM DE COMPRA NÃO É DOCUMENTO VÁLIDO PARA NEGOCIAÇÃO DE TÍTULOS CONTRA TERCEIROS</a:t>
          </a:r>
        </a:p>
      </xdr:txBody>
    </xdr:sp>
    <xdr:clientData/>
  </xdr:twoCellAnchor>
  <xdr:twoCellAnchor>
    <xdr:from>
      <xdr:col>1</xdr:col>
      <xdr:colOff>228601</xdr:colOff>
      <xdr:row>48</xdr:row>
      <xdr:rowOff>38101</xdr:rowOff>
    </xdr:from>
    <xdr:to>
      <xdr:col>4</xdr:col>
      <xdr:colOff>523876</xdr:colOff>
      <xdr:row>49</xdr:row>
      <xdr:rowOff>57150</xdr:rowOff>
    </xdr:to>
    <xdr:sp macro="" textlink="">
      <xdr:nvSpPr>
        <xdr:cNvPr id="37" name="CaixaDeTexto 36">
          <a:extLst>
            <a:ext uri="{FF2B5EF4-FFF2-40B4-BE49-F238E27FC236}">
              <a16:creationId xmlns="" xmlns:a16="http://schemas.microsoft.com/office/drawing/2014/main" id="{00000000-0008-0000-0000-000025000000}"/>
            </a:ext>
          </a:extLst>
        </xdr:cNvPr>
        <xdr:cNvSpPr txBox="1"/>
      </xdr:nvSpPr>
      <xdr:spPr>
        <a:xfrm>
          <a:off x="257176" y="13020676"/>
          <a:ext cx="1943100" cy="1809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000" b="1" i="1">
              <a:latin typeface="+mn-lt"/>
              <a:cs typeface="Arial" pitchFamily="34" charset="0"/>
            </a:rPr>
            <a:t>CONDIÇÕES</a:t>
          </a:r>
          <a:r>
            <a:rPr lang="pt-BR" sz="1000" b="1" i="1" baseline="0">
              <a:latin typeface="+mn-lt"/>
              <a:cs typeface="Arial" pitchFamily="34" charset="0"/>
            </a:rPr>
            <a:t> DE FORNECIMENTO:</a:t>
          </a:r>
          <a:endParaRPr lang="pt-BR" sz="1000" b="1" i="1">
            <a:latin typeface="+mn-lt"/>
            <a:cs typeface="Arial" pitchFamily="34" charset="0"/>
          </a:endParaRPr>
        </a:p>
      </xdr:txBody>
    </xdr:sp>
    <xdr:clientData/>
  </xdr:twoCellAnchor>
  <xdr:twoCellAnchor>
    <xdr:from>
      <xdr:col>1</xdr:col>
      <xdr:colOff>85725</xdr:colOff>
      <xdr:row>67</xdr:row>
      <xdr:rowOff>152400</xdr:rowOff>
    </xdr:from>
    <xdr:to>
      <xdr:col>4</xdr:col>
      <xdr:colOff>57150</xdr:colOff>
      <xdr:row>69</xdr:row>
      <xdr:rowOff>9525</xdr:rowOff>
    </xdr:to>
    <xdr:sp macro="" textlink="">
      <xdr:nvSpPr>
        <xdr:cNvPr id="38" name="CaixaDeTexto 37">
          <a:extLst>
            <a:ext uri="{FF2B5EF4-FFF2-40B4-BE49-F238E27FC236}">
              <a16:creationId xmlns="" xmlns:a16="http://schemas.microsoft.com/office/drawing/2014/main" id="{00000000-0008-0000-0000-000026000000}"/>
            </a:ext>
          </a:extLst>
        </xdr:cNvPr>
        <xdr:cNvSpPr txBox="1"/>
      </xdr:nvSpPr>
      <xdr:spPr>
        <a:xfrm>
          <a:off x="114300" y="12487275"/>
          <a:ext cx="1619250"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000" b="1" i="1" baseline="0">
              <a:latin typeface="+mn-lt"/>
              <a:cs typeface="Arial" pitchFamily="34" charset="0"/>
            </a:rPr>
            <a:t>DE ACORDO/APROVAÇÃO:</a:t>
          </a:r>
          <a:endParaRPr lang="pt-BR" sz="1000" b="1" i="1">
            <a:latin typeface="+mn-lt"/>
            <a:cs typeface="Arial" pitchFamily="34" charset="0"/>
          </a:endParaRPr>
        </a:p>
      </xdr:txBody>
    </xdr:sp>
    <xdr:clientData/>
  </xdr:twoCellAnchor>
  <xdr:twoCellAnchor>
    <xdr:from>
      <xdr:col>0</xdr:col>
      <xdr:colOff>9525</xdr:colOff>
      <xdr:row>35</xdr:row>
      <xdr:rowOff>47625</xdr:rowOff>
    </xdr:from>
    <xdr:to>
      <xdr:col>4</xdr:col>
      <xdr:colOff>390525</xdr:colOff>
      <xdr:row>39</xdr:row>
      <xdr:rowOff>76200</xdr:rowOff>
    </xdr:to>
    <xdr:sp macro="" textlink="">
      <xdr:nvSpPr>
        <xdr:cNvPr id="8345" name="PORDB3">
          <a:extLst>
            <a:ext uri="{FF2B5EF4-FFF2-40B4-BE49-F238E27FC236}">
              <a16:creationId xmlns="" xmlns:a16="http://schemas.microsoft.com/office/drawing/2014/main" id="{00000000-0008-0000-0000-000099200000}"/>
            </a:ext>
          </a:extLst>
        </xdr:cNvPr>
        <xdr:cNvSpPr>
          <a:spLocks noChangeArrowheads="1"/>
        </xdr:cNvSpPr>
      </xdr:nvSpPr>
      <xdr:spPr bwMode="auto">
        <a:xfrm>
          <a:off x="0" y="6696075"/>
          <a:ext cx="2038350" cy="704850"/>
        </a:xfrm>
        <a:prstGeom prst="roundRect">
          <a:avLst>
            <a:gd name="adj" fmla="val 0"/>
          </a:avLst>
        </a:prstGeom>
        <a:noFill/>
        <a:ln w="9525">
          <a:solidFill>
            <a:srgbClr val="000000"/>
          </a:solidFill>
          <a:round/>
          <a:headEnd/>
          <a:tailEnd/>
        </a:ln>
      </xdr:spPr>
    </xdr:sp>
    <xdr:clientData/>
  </xdr:twoCellAnchor>
  <xdr:twoCellAnchor>
    <xdr:from>
      <xdr:col>2</xdr:col>
      <xdr:colOff>171452</xdr:colOff>
      <xdr:row>34</xdr:row>
      <xdr:rowOff>123825</xdr:rowOff>
    </xdr:from>
    <xdr:to>
      <xdr:col>3</xdr:col>
      <xdr:colOff>323851</xdr:colOff>
      <xdr:row>35</xdr:row>
      <xdr:rowOff>142875</xdr:rowOff>
    </xdr:to>
    <xdr:sp macro="" textlink="">
      <xdr:nvSpPr>
        <xdr:cNvPr id="41" name="CaixaDeTexto 40">
          <a:extLst>
            <a:ext uri="{FF2B5EF4-FFF2-40B4-BE49-F238E27FC236}">
              <a16:creationId xmlns="" xmlns:a16="http://schemas.microsoft.com/office/drawing/2014/main" id="{00000000-0008-0000-0000-000029000000}"/>
            </a:ext>
          </a:extLst>
        </xdr:cNvPr>
        <xdr:cNvSpPr txBox="1"/>
      </xdr:nvSpPr>
      <xdr:spPr>
        <a:xfrm>
          <a:off x="485777" y="7134225"/>
          <a:ext cx="1000124" cy="180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000" b="1" i="1">
              <a:latin typeface="+mn-lt"/>
              <a:cs typeface="Arial" pitchFamily="34" charset="0"/>
            </a:rPr>
            <a:t>FRETE</a:t>
          </a:r>
          <a:r>
            <a:rPr lang="pt-BR" sz="1000" b="1" i="1" baseline="0">
              <a:latin typeface="+mn-lt"/>
              <a:cs typeface="Arial" pitchFamily="34" charset="0"/>
            </a:rPr>
            <a:t>:</a:t>
          </a:r>
          <a:endParaRPr lang="pt-BR" sz="1000" b="1" i="1">
            <a:latin typeface="+mn-lt"/>
            <a:cs typeface="Arial"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8</xdr:col>
          <xdr:colOff>314325</xdr:colOff>
          <xdr:row>39</xdr:row>
          <xdr:rowOff>0</xdr:rowOff>
        </xdr:from>
        <xdr:to>
          <xdr:col>11</xdr:col>
          <xdr:colOff>523875</xdr:colOff>
          <xdr:row>40</xdr:row>
          <xdr:rowOff>38100</xdr:rowOff>
        </xdr:to>
        <xdr:sp macro="" textlink="">
          <xdr:nvSpPr>
            <xdr:cNvPr id="1027" name="CCL" hidden="1">
              <a:extLst>
                <a:ext uri="{63B3BB69-23CF-44E3-9099-C40C66FF867C}">
                  <a14:compatExt spid="_x0000_s1027"/>
                </a:ext>
                <a:ext uri="{FF2B5EF4-FFF2-40B4-BE49-F238E27FC236}">
                  <a16:creationId xmlns="" xmlns:a16="http://schemas.microsoft.com/office/drawing/2014/main" id="{00000000-0008-0000-0000-000003040000}"/>
                </a:ext>
              </a:extLst>
            </xdr:cNvPr>
            <xdr:cNvSpPr/>
          </xdr:nvSpPr>
          <xdr:spPr bwMode="auto">
            <a:xfrm>
              <a:off x="0" y="0"/>
              <a:ext cx="0" cy="0"/>
            </a:xfrm>
            <a:prstGeom prst="rect">
              <a:avLst/>
            </a:prstGeom>
            <a:noFill/>
            <a:ln w="1">
              <a:miter lim="800000"/>
              <a:headEnd/>
              <a:tailEnd/>
            </a:ln>
            <a:extLst>
              <a:ext uri="{909E8E84-426E-40DD-AFC4-6F175D3DCCD1}">
                <a14:hiddenFill>
                  <a:noFill/>
                </a14:hiddenFill>
              </a:ext>
            </a:extLst>
          </xdr:spPr>
        </xdr:sp>
        <xdr:clientData fPrintsWithSheet="0"/>
      </xdr:twoCellAnchor>
    </mc:Choice>
    <mc:Fallback/>
  </mc:AlternateContent>
  <xdr:twoCellAnchor>
    <xdr:from>
      <xdr:col>1</xdr:col>
      <xdr:colOff>0</xdr:colOff>
      <xdr:row>10</xdr:row>
      <xdr:rowOff>76200</xdr:rowOff>
    </xdr:from>
    <xdr:to>
      <xdr:col>9</xdr:col>
      <xdr:colOff>0</xdr:colOff>
      <xdr:row>15</xdr:row>
      <xdr:rowOff>57150</xdr:rowOff>
    </xdr:to>
    <xdr:sp macro="" textlink="">
      <xdr:nvSpPr>
        <xdr:cNvPr id="39" name="PORDB1">
          <a:extLst>
            <a:ext uri="{FF2B5EF4-FFF2-40B4-BE49-F238E27FC236}">
              <a16:creationId xmlns="" xmlns:a16="http://schemas.microsoft.com/office/drawing/2014/main" id="{00000000-0008-0000-0000-000027000000}"/>
            </a:ext>
          </a:extLst>
        </xdr:cNvPr>
        <xdr:cNvSpPr>
          <a:spLocks noChangeArrowheads="1"/>
        </xdr:cNvSpPr>
      </xdr:nvSpPr>
      <xdr:spPr bwMode="auto">
        <a:xfrm>
          <a:off x="0" y="1609725"/>
          <a:ext cx="4657725"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40" name="PORDB1">
          <a:extLst>
            <a:ext uri="{FF2B5EF4-FFF2-40B4-BE49-F238E27FC236}">
              <a16:creationId xmlns="" xmlns:a16="http://schemas.microsoft.com/office/drawing/2014/main" id="{00000000-0008-0000-0000-000028000000}"/>
            </a:ext>
          </a:extLst>
        </xdr:cNvPr>
        <xdr:cNvSpPr>
          <a:spLocks noChangeArrowheads="1"/>
        </xdr:cNvSpPr>
      </xdr:nvSpPr>
      <xdr:spPr bwMode="auto">
        <a:xfrm>
          <a:off x="0" y="1609725"/>
          <a:ext cx="4657725"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42" name="PORDB1">
          <a:extLst>
            <a:ext uri="{FF2B5EF4-FFF2-40B4-BE49-F238E27FC236}">
              <a16:creationId xmlns="" xmlns:a16="http://schemas.microsoft.com/office/drawing/2014/main" id="{00000000-0008-0000-0000-00002A000000}"/>
            </a:ext>
          </a:extLst>
        </xdr:cNvPr>
        <xdr:cNvSpPr>
          <a:spLocks noChangeArrowheads="1"/>
        </xdr:cNvSpPr>
      </xdr:nvSpPr>
      <xdr:spPr bwMode="auto">
        <a:xfrm>
          <a:off x="0" y="1609725"/>
          <a:ext cx="4657725"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43" name="PORDB1">
          <a:extLst>
            <a:ext uri="{FF2B5EF4-FFF2-40B4-BE49-F238E27FC236}">
              <a16:creationId xmlns="" xmlns:a16="http://schemas.microsoft.com/office/drawing/2014/main" id="{00000000-0008-0000-0000-00002B000000}"/>
            </a:ext>
          </a:extLst>
        </xdr:cNvPr>
        <xdr:cNvSpPr>
          <a:spLocks noChangeArrowheads="1"/>
        </xdr:cNvSpPr>
      </xdr:nvSpPr>
      <xdr:spPr bwMode="auto">
        <a:xfrm>
          <a:off x="0" y="1609725"/>
          <a:ext cx="4657725"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44" name="PORDB1">
          <a:extLst>
            <a:ext uri="{FF2B5EF4-FFF2-40B4-BE49-F238E27FC236}">
              <a16:creationId xmlns="" xmlns:a16="http://schemas.microsoft.com/office/drawing/2014/main" id="{00000000-0008-0000-0000-00002C000000}"/>
            </a:ext>
          </a:extLst>
        </xdr:cNvPr>
        <xdr:cNvSpPr>
          <a:spLocks noChangeArrowheads="1"/>
        </xdr:cNvSpPr>
      </xdr:nvSpPr>
      <xdr:spPr bwMode="auto">
        <a:xfrm>
          <a:off x="0" y="1609725"/>
          <a:ext cx="4657725"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45" name="PORDB1">
          <a:extLst>
            <a:ext uri="{FF2B5EF4-FFF2-40B4-BE49-F238E27FC236}">
              <a16:creationId xmlns="" xmlns:a16="http://schemas.microsoft.com/office/drawing/2014/main" id="{00000000-0008-0000-0000-00002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46" name="PORDB1">
          <a:extLst>
            <a:ext uri="{FF2B5EF4-FFF2-40B4-BE49-F238E27FC236}">
              <a16:creationId xmlns="" xmlns:a16="http://schemas.microsoft.com/office/drawing/2014/main" id="{00000000-0008-0000-0000-00002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47" name="PORDB1">
          <a:extLst>
            <a:ext uri="{FF2B5EF4-FFF2-40B4-BE49-F238E27FC236}">
              <a16:creationId xmlns="" xmlns:a16="http://schemas.microsoft.com/office/drawing/2014/main" id="{00000000-0008-0000-0000-00002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48" name="PORDB1">
          <a:extLst>
            <a:ext uri="{FF2B5EF4-FFF2-40B4-BE49-F238E27FC236}">
              <a16:creationId xmlns="" xmlns:a16="http://schemas.microsoft.com/office/drawing/2014/main" id="{00000000-0008-0000-0000-00003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49" name="PORDB1">
          <a:extLst>
            <a:ext uri="{FF2B5EF4-FFF2-40B4-BE49-F238E27FC236}">
              <a16:creationId xmlns="" xmlns:a16="http://schemas.microsoft.com/office/drawing/2014/main" id="{00000000-0008-0000-0000-00003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0" name="PORDB1">
          <a:extLst>
            <a:ext uri="{FF2B5EF4-FFF2-40B4-BE49-F238E27FC236}">
              <a16:creationId xmlns="" xmlns:a16="http://schemas.microsoft.com/office/drawing/2014/main" id="{00000000-0008-0000-0000-00003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1" name="PORDB1">
          <a:extLst>
            <a:ext uri="{FF2B5EF4-FFF2-40B4-BE49-F238E27FC236}">
              <a16:creationId xmlns="" xmlns:a16="http://schemas.microsoft.com/office/drawing/2014/main" id="{00000000-0008-0000-0000-00003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2" name="PORDB1">
          <a:extLst>
            <a:ext uri="{FF2B5EF4-FFF2-40B4-BE49-F238E27FC236}">
              <a16:creationId xmlns="" xmlns:a16="http://schemas.microsoft.com/office/drawing/2014/main" id="{00000000-0008-0000-0000-00003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3" name="PORDB1">
          <a:extLst>
            <a:ext uri="{FF2B5EF4-FFF2-40B4-BE49-F238E27FC236}">
              <a16:creationId xmlns="" xmlns:a16="http://schemas.microsoft.com/office/drawing/2014/main" id="{00000000-0008-0000-0000-00003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4" name="PORDB1">
          <a:extLst>
            <a:ext uri="{FF2B5EF4-FFF2-40B4-BE49-F238E27FC236}">
              <a16:creationId xmlns="" xmlns:a16="http://schemas.microsoft.com/office/drawing/2014/main" id="{00000000-0008-0000-0000-00003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5" name="PORDB1">
          <a:extLst>
            <a:ext uri="{FF2B5EF4-FFF2-40B4-BE49-F238E27FC236}">
              <a16:creationId xmlns="" xmlns:a16="http://schemas.microsoft.com/office/drawing/2014/main" id="{00000000-0008-0000-0000-00003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6" name="PORDB1">
          <a:extLst>
            <a:ext uri="{FF2B5EF4-FFF2-40B4-BE49-F238E27FC236}">
              <a16:creationId xmlns="" xmlns:a16="http://schemas.microsoft.com/office/drawing/2014/main" id="{00000000-0008-0000-0000-00003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7" name="PORDB1">
          <a:extLst>
            <a:ext uri="{FF2B5EF4-FFF2-40B4-BE49-F238E27FC236}">
              <a16:creationId xmlns="" xmlns:a16="http://schemas.microsoft.com/office/drawing/2014/main" id="{00000000-0008-0000-0000-00003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8" name="PORDB1">
          <a:extLst>
            <a:ext uri="{FF2B5EF4-FFF2-40B4-BE49-F238E27FC236}">
              <a16:creationId xmlns="" xmlns:a16="http://schemas.microsoft.com/office/drawing/2014/main" id="{00000000-0008-0000-0000-00003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59" name="PORDB1">
          <a:extLst>
            <a:ext uri="{FF2B5EF4-FFF2-40B4-BE49-F238E27FC236}">
              <a16:creationId xmlns="" xmlns:a16="http://schemas.microsoft.com/office/drawing/2014/main" id="{00000000-0008-0000-0000-00003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0" name="PORDB1">
          <a:extLst>
            <a:ext uri="{FF2B5EF4-FFF2-40B4-BE49-F238E27FC236}">
              <a16:creationId xmlns="" xmlns:a16="http://schemas.microsoft.com/office/drawing/2014/main" id="{00000000-0008-0000-0000-00003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1" name="PORDB1">
          <a:extLst>
            <a:ext uri="{FF2B5EF4-FFF2-40B4-BE49-F238E27FC236}">
              <a16:creationId xmlns="" xmlns:a16="http://schemas.microsoft.com/office/drawing/2014/main" id="{00000000-0008-0000-0000-00003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2" name="PORDB1">
          <a:extLst>
            <a:ext uri="{FF2B5EF4-FFF2-40B4-BE49-F238E27FC236}">
              <a16:creationId xmlns="" xmlns:a16="http://schemas.microsoft.com/office/drawing/2014/main" id="{00000000-0008-0000-0000-00003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3" name="PORDB1">
          <a:extLst>
            <a:ext uri="{FF2B5EF4-FFF2-40B4-BE49-F238E27FC236}">
              <a16:creationId xmlns="" xmlns:a16="http://schemas.microsoft.com/office/drawing/2014/main" id="{00000000-0008-0000-0000-00003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4" name="PORDB1">
          <a:extLst>
            <a:ext uri="{FF2B5EF4-FFF2-40B4-BE49-F238E27FC236}">
              <a16:creationId xmlns="" xmlns:a16="http://schemas.microsoft.com/office/drawing/2014/main" id="{00000000-0008-0000-0000-00004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5" name="PORDB1">
          <a:extLst>
            <a:ext uri="{FF2B5EF4-FFF2-40B4-BE49-F238E27FC236}">
              <a16:creationId xmlns="" xmlns:a16="http://schemas.microsoft.com/office/drawing/2014/main" id="{00000000-0008-0000-0000-00004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6" name="PORDB1">
          <a:extLst>
            <a:ext uri="{FF2B5EF4-FFF2-40B4-BE49-F238E27FC236}">
              <a16:creationId xmlns="" xmlns:a16="http://schemas.microsoft.com/office/drawing/2014/main" id="{00000000-0008-0000-0000-00004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7" name="PORDB1">
          <a:extLst>
            <a:ext uri="{FF2B5EF4-FFF2-40B4-BE49-F238E27FC236}">
              <a16:creationId xmlns="" xmlns:a16="http://schemas.microsoft.com/office/drawing/2014/main" id="{00000000-0008-0000-0000-00004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8" name="PORDB1">
          <a:extLst>
            <a:ext uri="{FF2B5EF4-FFF2-40B4-BE49-F238E27FC236}">
              <a16:creationId xmlns="" xmlns:a16="http://schemas.microsoft.com/office/drawing/2014/main" id="{00000000-0008-0000-0000-00004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69" name="PORDB1">
          <a:extLst>
            <a:ext uri="{FF2B5EF4-FFF2-40B4-BE49-F238E27FC236}">
              <a16:creationId xmlns="" xmlns:a16="http://schemas.microsoft.com/office/drawing/2014/main" id="{00000000-0008-0000-0000-00004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0" name="PORDB1">
          <a:extLst>
            <a:ext uri="{FF2B5EF4-FFF2-40B4-BE49-F238E27FC236}">
              <a16:creationId xmlns="" xmlns:a16="http://schemas.microsoft.com/office/drawing/2014/main" id="{00000000-0008-0000-0000-00004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1" name="PORDB1">
          <a:extLst>
            <a:ext uri="{FF2B5EF4-FFF2-40B4-BE49-F238E27FC236}">
              <a16:creationId xmlns="" xmlns:a16="http://schemas.microsoft.com/office/drawing/2014/main" id="{00000000-0008-0000-0000-00004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2" name="PORDB1">
          <a:extLst>
            <a:ext uri="{FF2B5EF4-FFF2-40B4-BE49-F238E27FC236}">
              <a16:creationId xmlns="" xmlns:a16="http://schemas.microsoft.com/office/drawing/2014/main" id="{00000000-0008-0000-0000-00004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3" name="PORDB1">
          <a:extLst>
            <a:ext uri="{FF2B5EF4-FFF2-40B4-BE49-F238E27FC236}">
              <a16:creationId xmlns="" xmlns:a16="http://schemas.microsoft.com/office/drawing/2014/main" id="{00000000-0008-0000-0000-00004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4" name="PORDB1">
          <a:extLst>
            <a:ext uri="{FF2B5EF4-FFF2-40B4-BE49-F238E27FC236}">
              <a16:creationId xmlns="" xmlns:a16="http://schemas.microsoft.com/office/drawing/2014/main" id="{00000000-0008-0000-0000-00004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5" name="PORDB1">
          <a:extLst>
            <a:ext uri="{FF2B5EF4-FFF2-40B4-BE49-F238E27FC236}">
              <a16:creationId xmlns="" xmlns:a16="http://schemas.microsoft.com/office/drawing/2014/main" id="{00000000-0008-0000-0000-00004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6" name="PORDB1">
          <a:extLst>
            <a:ext uri="{FF2B5EF4-FFF2-40B4-BE49-F238E27FC236}">
              <a16:creationId xmlns="" xmlns:a16="http://schemas.microsoft.com/office/drawing/2014/main" id="{00000000-0008-0000-0000-00004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7" name="PORDB1">
          <a:extLst>
            <a:ext uri="{FF2B5EF4-FFF2-40B4-BE49-F238E27FC236}">
              <a16:creationId xmlns="" xmlns:a16="http://schemas.microsoft.com/office/drawing/2014/main" id="{00000000-0008-0000-0000-00004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8" name="PORDB1">
          <a:extLst>
            <a:ext uri="{FF2B5EF4-FFF2-40B4-BE49-F238E27FC236}">
              <a16:creationId xmlns="" xmlns:a16="http://schemas.microsoft.com/office/drawing/2014/main" id="{00000000-0008-0000-0000-00004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79" name="PORDB1">
          <a:extLst>
            <a:ext uri="{FF2B5EF4-FFF2-40B4-BE49-F238E27FC236}">
              <a16:creationId xmlns="" xmlns:a16="http://schemas.microsoft.com/office/drawing/2014/main" id="{00000000-0008-0000-0000-00004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0" name="PORDB1">
          <a:extLst>
            <a:ext uri="{FF2B5EF4-FFF2-40B4-BE49-F238E27FC236}">
              <a16:creationId xmlns="" xmlns:a16="http://schemas.microsoft.com/office/drawing/2014/main" id="{00000000-0008-0000-0000-00005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1" name="PORDB1">
          <a:extLst>
            <a:ext uri="{FF2B5EF4-FFF2-40B4-BE49-F238E27FC236}">
              <a16:creationId xmlns="" xmlns:a16="http://schemas.microsoft.com/office/drawing/2014/main" id="{00000000-0008-0000-0000-00005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2" name="PORDB1">
          <a:extLst>
            <a:ext uri="{FF2B5EF4-FFF2-40B4-BE49-F238E27FC236}">
              <a16:creationId xmlns="" xmlns:a16="http://schemas.microsoft.com/office/drawing/2014/main" id="{00000000-0008-0000-0000-00005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3" name="PORDB1">
          <a:extLst>
            <a:ext uri="{FF2B5EF4-FFF2-40B4-BE49-F238E27FC236}">
              <a16:creationId xmlns="" xmlns:a16="http://schemas.microsoft.com/office/drawing/2014/main" id="{00000000-0008-0000-0000-00005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4" name="PORDB1">
          <a:extLst>
            <a:ext uri="{FF2B5EF4-FFF2-40B4-BE49-F238E27FC236}">
              <a16:creationId xmlns="" xmlns:a16="http://schemas.microsoft.com/office/drawing/2014/main" id="{00000000-0008-0000-0000-00005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5" name="PORDB1">
          <a:extLst>
            <a:ext uri="{FF2B5EF4-FFF2-40B4-BE49-F238E27FC236}">
              <a16:creationId xmlns="" xmlns:a16="http://schemas.microsoft.com/office/drawing/2014/main" id="{00000000-0008-0000-0000-00005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6" name="PORDB1">
          <a:extLst>
            <a:ext uri="{FF2B5EF4-FFF2-40B4-BE49-F238E27FC236}">
              <a16:creationId xmlns="" xmlns:a16="http://schemas.microsoft.com/office/drawing/2014/main" id="{00000000-0008-0000-0000-00005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7" name="PORDB1">
          <a:extLst>
            <a:ext uri="{FF2B5EF4-FFF2-40B4-BE49-F238E27FC236}">
              <a16:creationId xmlns="" xmlns:a16="http://schemas.microsoft.com/office/drawing/2014/main" id="{00000000-0008-0000-0000-00005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8" name="PORDB1">
          <a:extLst>
            <a:ext uri="{FF2B5EF4-FFF2-40B4-BE49-F238E27FC236}">
              <a16:creationId xmlns="" xmlns:a16="http://schemas.microsoft.com/office/drawing/2014/main" id="{00000000-0008-0000-0000-00005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89" name="PORDB1">
          <a:extLst>
            <a:ext uri="{FF2B5EF4-FFF2-40B4-BE49-F238E27FC236}">
              <a16:creationId xmlns="" xmlns:a16="http://schemas.microsoft.com/office/drawing/2014/main" id="{00000000-0008-0000-0000-00005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0" name="PORDB1">
          <a:extLst>
            <a:ext uri="{FF2B5EF4-FFF2-40B4-BE49-F238E27FC236}">
              <a16:creationId xmlns="" xmlns:a16="http://schemas.microsoft.com/office/drawing/2014/main" id="{00000000-0008-0000-0000-00005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1" name="PORDB1">
          <a:extLst>
            <a:ext uri="{FF2B5EF4-FFF2-40B4-BE49-F238E27FC236}">
              <a16:creationId xmlns="" xmlns:a16="http://schemas.microsoft.com/office/drawing/2014/main" id="{00000000-0008-0000-0000-00005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2" name="PORDB1">
          <a:extLst>
            <a:ext uri="{FF2B5EF4-FFF2-40B4-BE49-F238E27FC236}">
              <a16:creationId xmlns="" xmlns:a16="http://schemas.microsoft.com/office/drawing/2014/main" id="{00000000-0008-0000-0000-00005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3" name="PORDB1">
          <a:extLst>
            <a:ext uri="{FF2B5EF4-FFF2-40B4-BE49-F238E27FC236}">
              <a16:creationId xmlns="" xmlns:a16="http://schemas.microsoft.com/office/drawing/2014/main" id="{00000000-0008-0000-0000-00005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4" name="PORDB1">
          <a:extLst>
            <a:ext uri="{FF2B5EF4-FFF2-40B4-BE49-F238E27FC236}">
              <a16:creationId xmlns="" xmlns:a16="http://schemas.microsoft.com/office/drawing/2014/main" id="{00000000-0008-0000-0000-00005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5" name="PORDB1">
          <a:extLst>
            <a:ext uri="{FF2B5EF4-FFF2-40B4-BE49-F238E27FC236}">
              <a16:creationId xmlns="" xmlns:a16="http://schemas.microsoft.com/office/drawing/2014/main" id="{00000000-0008-0000-0000-00005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6" name="PORDB1">
          <a:extLst>
            <a:ext uri="{FF2B5EF4-FFF2-40B4-BE49-F238E27FC236}">
              <a16:creationId xmlns="" xmlns:a16="http://schemas.microsoft.com/office/drawing/2014/main" id="{00000000-0008-0000-0000-00006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7" name="PORDB1">
          <a:extLst>
            <a:ext uri="{FF2B5EF4-FFF2-40B4-BE49-F238E27FC236}">
              <a16:creationId xmlns="" xmlns:a16="http://schemas.microsoft.com/office/drawing/2014/main" id="{00000000-0008-0000-0000-00006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8" name="PORDB1">
          <a:extLst>
            <a:ext uri="{FF2B5EF4-FFF2-40B4-BE49-F238E27FC236}">
              <a16:creationId xmlns="" xmlns:a16="http://schemas.microsoft.com/office/drawing/2014/main" id="{00000000-0008-0000-0000-00006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99" name="PORDB1">
          <a:extLst>
            <a:ext uri="{FF2B5EF4-FFF2-40B4-BE49-F238E27FC236}">
              <a16:creationId xmlns="" xmlns:a16="http://schemas.microsoft.com/office/drawing/2014/main" id="{00000000-0008-0000-0000-00006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0" name="PORDB1">
          <a:extLst>
            <a:ext uri="{FF2B5EF4-FFF2-40B4-BE49-F238E27FC236}">
              <a16:creationId xmlns="" xmlns:a16="http://schemas.microsoft.com/office/drawing/2014/main" id="{00000000-0008-0000-0000-00006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1" name="PORDB1">
          <a:extLst>
            <a:ext uri="{FF2B5EF4-FFF2-40B4-BE49-F238E27FC236}">
              <a16:creationId xmlns="" xmlns:a16="http://schemas.microsoft.com/office/drawing/2014/main" id="{00000000-0008-0000-0000-00006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2" name="PORDB1">
          <a:extLst>
            <a:ext uri="{FF2B5EF4-FFF2-40B4-BE49-F238E27FC236}">
              <a16:creationId xmlns="" xmlns:a16="http://schemas.microsoft.com/office/drawing/2014/main" id="{00000000-0008-0000-0000-00006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3" name="PORDB1">
          <a:extLst>
            <a:ext uri="{FF2B5EF4-FFF2-40B4-BE49-F238E27FC236}">
              <a16:creationId xmlns="" xmlns:a16="http://schemas.microsoft.com/office/drawing/2014/main" id="{00000000-0008-0000-0000-00006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4" name="PORDB1">
          <a:extLst>
            <a:ext uri="{FF2B5EF4-FFF2-40B4-BE49-F238E27FC236}">
              <a16:creationId xmlns="" xmlns:a16="http://schemas.microsoft.com/office/drawing/2014/main" id="{00000000-0008-0000-0000-00006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5" name="PORDB1">
          <a:extLst>
            <a:ext uri="{FF2B5EF4-FFF2-40B4-BE49-F238E27FC236}">
              <a16:creationId xmlns="" xmlns:a16="http://schemas.microsoft.com/office/drawing/2014/main" id="{00000000-0008-0000-0000-00006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6" name="PORDB1">
          <a:extLst>
            <a:ext uri="{FF2B5EF4-FFF2-40B4-BE49-F238E27FC236}">
              <a16:creationId xmlns="" xmlns:a16="http://schemas.microsoft.com/office/drawing/2014/main" id="{00000000-0008-0000-0000-00006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7" name="PORDB1">
          <a:extLst>
            <a:ext uri="{FF2B5EF4-FFF2-40B4-BE49-F238E27FC236}">
              <a16:creationId xmlns="" xmlns:a16="http://schemas.microsoft.com/office/drawing/2014/main" id="{00000000-0008-0000-0000-00006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8" name="PORDB1">
          <a:extLst>
            <a:ext uri="{FF2B5EF4-FFF2-40B4-BE49-F238E27FC236}">
              <a16:creationId xmlns="" xmlns:a16="http://schemas.microsoft.com/office/drawing/2014/main" id="{00000000-0008-0000-0000-00006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09" name="PORDB1">
          <a:extLst>
            <a:ext uri="{FF2B5EF4-FFF2-40B4-BE49-F238E27FC236}">
              <a16:creationId xmlns="" xmlns:a16="http://schemas.microsoft.com/office/drawing/2014/main" id="{00000000-0008-0000-0000-00006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0" name="PORDB1">
          <a:extLst>
            <a:ext uri="{FF2B5EF4-FFF2-40B4-BE49-F238E27FC236}">
              <a16:creationId xmlns="" xmlns:a16="http://schemas.microsoft.com/office/drawing/2014/main" id="{00000000-0008-0000-0000-00006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1" name="PORDB1">
          <a:extLst>
            <a:ext uri="{FF2B5EF4-FFF2-40B4-BE49-F238E27FC236}">
              <a16:creationId xmlns="" xmlns:a16="http://schemas.microsoft.com/office/drawing/2014/main" id="{00000000-0008-0000-0000-00006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2" name="PORDB1">
          <a:extLst>
            <a:ext uri="{FF2B5EF4-FFF2-40B4-BE49-F238E27FC236}">
              <a16:creationId xmlns="" xmlns:a16="http://schemas.microsoft.com/office/drawing/2014/main" id="{00000000-0008-0000-0000-00007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3" name="PORDB1">
          <a:extLst>
            <a:ext uri="{FF2B5EF4-FFF2-40B4-BE49-F238E27FC236}">
              <a16:creationId xmlns="" xmlns:a16="http://schemas.microsoft.com/office/drawing/2014/main" id="{00000000-0008-0000-0000-00007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4" name="PORDB1">
          <a:extLst>
            <a:ext uri="{FF2B5EF4-FFF2-40B4-BE49-F238E27FC236}">
              <a16:creationId xmlns="" xmlns:a16="http://schemas.microsoft.com/office/drawing/2014/main" id="{00000000-0008-0000-0000-00007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5" name="PORDB1">
          <a:extLst>
            <a:ext uri="{FF2B5EF4-FFF2-40B4-BE49-F238E27FC236}">
              <a16:creationId xmlns="" xmlns:a16="http://schemas.microsoft.com/office/drawing/2014/main" id="{00000000-0008-0000-0000-00007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6" name="PORDB1">
          <a:extLst>
            <a:ext uri="{FF2B5EF4-FFF2-40B4-BE49-F238E27FC236}">
              <a16:creationId xmlns="" xmlns:a16="http://schemas.microsoft.com/office/drawing/2014/main" id="{00000000-0008-0000-0000-00007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7" name="PORDB1">
          <a:extLst>
            <a:ext uri="{FF2B5EF4-FFF2-40B4-BE49-F238E27FC236}">
              <a16:creationId xmlns="" xmlns:a16="http://schemas.microsoft.com/office/drawing/2014/main" id="{00000000-0008-0000-0000-00007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8" name="PORDB1">
          <a:extLst>
            <a:ext uri="{FF2B5EF4-FFF2-40B4-BE49-F238E27FC236}">
              <a16:creationId xmlns="" xmlns:a16="http://schemas.microsoft.com/office/drawing/2014/main" id="{00000000-0008-0000-0000-00007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19" name="PORDB1">
          <a:extLst>
            <a:ext uri="{FF2B5EF4-FFF2-40B4-BE49-F238E27FC236}">
              <a16:creationId xmlns="" xmlns:a16="http://schemas.microsoft.com/office/drawing/2014/main" id="{00000000-0008-0000-0000-00007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0" name="PORDB1">
          <a:extLst>
            <a:ext uri="{FF2B5EF4-FFF2-40B4-BE49-F238E27FC236}">
              <a16:creationId xmlns="" xmlns:a16="http://schemas.microsoft.com/office/drawing/2014/main" id="{00000000-0008-0000-0000-00007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1" name="PORDB1">
          <a:extLst>
            <a:ext uri="{FF2B5EF4-FFF2-40B4-BE49-F238E27FC236}">
              <a16:creationId xmlns="" xmlns:a16="http://schemas.microsoft.com/office/drawing/2014/main" id="{00000000-0008-0000-0000-00007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2" name="PORDB1">
          <a:extLst>
            <a:ext uri="{FF2B5EF4-FFF2-40B4-BE49-F238E27FC236}">
              <a16:creationId xmlns="" xmlns:a16="http://schemas.microsoft.com/office/drawing/2014/main" id="{00000000-0008-0000-0000-00007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3" name="PORDB1">
          <a:extLst>
            <a:ext uri="{FF2B5EF4-FFF2-40B4-BE49-F238E27FC236}">
              <a16:creationId xmlns="" xmlns:a16="http://schemas.microsoft.com/office/drawing/2014/main" id="{00000000-0008-0000-0000-00007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4" name="PORDB1">
          <a:extLst>
            <a:ext uri="{FF2B5EF4-FFF2-40B4-BE49-F238E27FC236}">
              <a16:creationId xmlns="" xmlns:a16="http://schemas.microsoft.com/office/drawing/2014/main" id="{00000000-0008-0000-0000-00007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5" name="PORDB1">
          <a:extLst>
            <a:ext uri="{FF2B5EF4-FFF2-40B4-BE49-F238E27FC236}">
              <a16:creationId xmlns="" xmlns:a16="http://schemas.microsoft.com/office/drawing/2014/main" id="{00000000-0008-0000-0000-00007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6" name="PORDB1">
          <a:extLst>
            <a:ext uri="{FF2B5EF4-FFF2-40B4-BE49-F238E27FC236}">
              <a16:creationId xmlns="" xmlns:a16="http://schemas.microsoft.com/office/drawing/2014/main" id="{00000000-0008-0000-0000-00007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7" name="PORDB1">
          <a:extLst>
            <a:ext uri="{FF2B5EF4-FFF2-40B4-BE49-F238E27FC236}">
              <a16:creationId xmlns="" xmlns:a16="http://schemas.microsoft.com/office/drawing/2014/main" id="{00000000-0008-0000-0000-00007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8" name="PORDB1">
          <a:extLst>
            <a:ext uri="{FF2B5EF4-FFF2-40B4-BE49-F238E27FC236}">
              <a16:creationId xmlns="" xmlns:a16="http://schemas.microsoft.com/office/drawing/2014/main" id="{00000000-0008-0000-0000-00008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29" name="PORDB1">
          <a:extLst>
            <a:ext uri="{FF2B5EF4-FFF2-40B4-BE49-F238E27FC236}">
              <a16:creationId xmlns="" xmlns:a16="http://schemas.microsoft.com/office/drawing/2014/main" id="{00000000-0008-0000-0000-00008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0" name="PORDB1">
          <a:extLst>
            <a:ext uri="{FF2B5EF4-FFF2-40B4-BE49-F238E27FC236}">
              <a16:creationId xmlns="" xmlns:a16="http://schemas.microsoft.com/office/drawing/2014/main" id="{00000000-0008-0000-0000-00008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1" name="PORDB1">
          <a:extLst>
            <a:ext uri="{FF2B5EF4-FFF2-40B4-BE49-F238E27FC236}">
              <a16:creationId xmlns="" xmlns:a16="http://schemas.microsoft.com/office/drawing/2014/main" id="{00000000-0008-0000-0000-00008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2" name="PORDB1">
          <a:extLst>
            <a:ext uri="{FF2B5EF4-FFF2-40B4-BE49-F238E27FC236}">
              <a16:creationId xmlns="" xmlns:a16="http://schemas.microsoft.com/office/drawing/2014/main" id="{00000000-0008-0000-0000-00008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3" name="PORDB1">
          <a:extLst>
            <a:ext uri="{FF2B5EF4-FFF2-40B4-BE49-F238E27FC236}">
              <a16:creationId xmlns="" xmlns:a16="http://schemas.microsoft.com/office/drawing/2014/main" id="{00000000-0008-0000-0000-00008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4" name="PORDB1">
          <a:extLst>
            <a:ext uri="{FF2B5EF4-FFF2-40B4-BE49-F238E27FC236}">
              <a16:creationId xmlns="" xmlns:a16="http://schemas.microsoft.com/office/drawing/2014/main" id="{00000000-0008-0000-0000-00008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5" name="PORDB1">
          <a:extLst>
            <a:ext uri="{FF2B5EF4-FFF2-40B4-BE49-F238E27FC236}">
              <a16:creationId xmlns="" xmlns:a16="http://schemas.microsoft.com/office/drawing/2014/main" id="{00000000-0008-0000-0000-00008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6" name="PORDB1">
          <a:extLst>
            <a:ext uri="{FF2B5EF4-FFF2-40B4-BE49-F238E27FC236}">
              <a16:creationId xmlns="" xmlns:a16="http://schemas.microsoft.com/office/drawing/2014/main" id="{00000000-0008-0000-0000-00008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7" name="PORDB1">
          <a:extLst>
            <a:ext uri="{FF2B5EF4-FFF2-40B4-BE49-F238E27FC236}">
              <a16:creationId xmlns="" xmlns:a16="http://schemas.microsoft.com/office/drawing/2014/main" id="{00000000-0008-0000-0000-00008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8" name="PORDB1">
          <a:extLst>
            <a:ext uri="{FF2B5EF4-FFF2-40B4-BE49-F238E27FC236}">
              <a16:creationId xmlns="" xmlns:a16="http://schemas.microsoft.com/office/drawing/2014/main" id="{00000000-0008-0000-0000-00008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39" name="PORDB1">
          <a:extLst>
            <a:ext uri="{FF2B5EF4-FFF2-40B4-BE49-F238E27FC236}">
              <a16:creationId xmlns="" xmlns:a16="http://schemas.microsoft.com/office/drawing/2014/main" id="{00000000-0008-0000-0000-00008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0" name="PORDB1">
          <a:extLst>
            <a:ext uri="{FF2B5EF4-FFF2-40B4-BE49-F238E27FC236}">
              <a16:creationId xmlns="" xmlns:a16="http://schemas.microsoft.com/office/drawing/2014/main" id="{00000000-0008-0000-0000-00008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1" name="PORDB1">
          <a:extLst>
            <a:ext uri="{FF2B5EF4-FFF2-40B4-BE49-F238E27FC236}">
              <a16:creationId xmlns="" xmlns:a16="http://schemas.microsoft.com/office/drawing/2014/main" id="{00000000-0008-0000-0000-00008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2" name="PORDB1">
          <a:extLst>
            <a:ext uri="{FF2B5EF4-FFF2-40B4-BE49-F238E27FC236}">
              <a16:creationId xmlns="" xmlns:a16="http://schemas.microsoft.com/office/drawing/2014/main" id="{00000000-0008-0000-0000-00008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3" name="PORDB1">
          <a:extLst>
            <a:ext uri="{FF2B5EF4-FFF2-40B4-BE49-F238E27FC236}">
              <a16:creationId xmlns="" xmlns:a16="http://schemas.microsoft.com/office/drawing/2014/main" id="{00000000-0008-0000-0000-00008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4" name="PORDB1">
          <a:extLst>
            <a:ext uri="{FF2B5EF4-FFF2-40B4-BE49-F238E27FC236}">
              <a16:creationId xmlns="" xmlns:a16="http://schemas.microsoft.com/office/drawing/2014/main" id="{00000000-0008-0000-0000-00009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5" name="PORDB1">
          <a:extLst>
            <a:ext uri="{FF2B5EF4-FFF2-40B4-BE49-F238E27FC236}">
              <a16:creationId xmlns="" xmlns:a16="http://schemas.microsoft.com/office/drawing/2014/main" id="{00000000-0008-0000-0000-00009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6" name="PORDB1">
          <a:extLst>
            <a:ext uri="{FF2B5EF4-FFF2-40B4-BE49-F238E27FC236}">
              <a16:creationId xmlns="" xmlns:a16="http://schemas.microsoft.com/office/drawing/2014/main" id="{00000000-0008-0000-0000-00009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7" name="PORDB1">
          <a:extLst>
            <a:ext uri="{FF2B5EF4-FFF2-40B4-BE49-F238E27FC236}">
              <a16:creationId xmlns="" xmlns:a16="http://schemas.microsoft.com/office/drawing/2014/main" id="{00000000-0008-0000-0000-00009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8" name="PORDB1">
          <a:extLst>
            <a:ext uri="{FF2B5EF4-FFF2-40B4-BE49-F238E27FC236}">
              <a16:creationId xmlns="" xmlns:a16="http://schemas.microsoft.com/office/drawing/2014/main" id="{00000000-0008-0000-0000-00009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49" name="PORDB1">
          <a:extLst>
            <a:ext uri="{FF2B5EF4-FFF2-40B4-BE49-F238E27FC236}">
              <a16:creationId xmlns="" xmlns:a16="http://schemas.microsoft.com/office/drawing/2014/main" id="{00000000-0008-0000-0000-00009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0" name="PORDB1">
          <a:extLst>
            <a:ext uri="{FF2B5EF4-FFF2-40B4-BE49-F238E27FC236}">
              <a16:creationId xmlns="" xmlns:a16="http://schemas.microsoft.com/office/drawing/2014/main" id="{00000000-0008-0000-0000-00009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1" name="PORDB1">
          <a:extLst>
            <a:ext uri="{FF2B5EF4-FFF2-40B4-BE49-F238E27FC236}">
              <a16:creationId xmlns="" xmlns:a16="http://schemas.microsoft.com/office/drawing/2014/main" id="{00000000-0008-0000-0000-00009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2" name="PORDB1">
          <a:extLst>
            <a:ext uri="{FF2B5EF4-FFF2-40B4-BE49-F238E27FC236}">
              <a16:creationId xmlns="" xmlns:a16="http://schemas.microsoft.com/office/drawing/2014/main" id="{00000000-0008-0000-0000-00009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3" name="PORDB1">
          <a:extLst>
            <a:ext uri="{FF2B5EF4-FFF2-40B4-BE49-F238E27FC236}">
              <a16:creationId xmlns="" xmlns:a16="http://schemas.microsoft.com/office/drawing/2014/main" id="{00000000-0008-0000-0000-00009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4" name="PORDB1">
          <a:extLst>
            <a:ext uri="{FF2B5EF4-FFF2-40B4-BE49-F238E27FC236}">
              <a16:creationId xmlns="" xmlns:a16="http://schemas.microsoft.com/office/drawing/2014/main" id="{00000000-0008-0000-0000-00009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5" name="PORDB1">
          <a:extLst>
            <a:ext uri="{FF2B5EF4-FFF2-40B4-BE49-F238E27FC236}">
              <a16:creationId xmlns="" xmlns:a16="http://schemas.microsoft.com/office/drawing/2014/main" id="{00000000-0008-0000-0000-00009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6" name="PORDB1">
          <a:extLst>
            <a:ext uri="{FF2B5EF4-FFF2-40B4-BE49-F238E27FC236}">
              <a16:creationId xmlns="" xmlns:a16="http://schemas.microsoft.com/office/drawing/2014/main" id="{00000000-0008-0000-0000-00009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7" name="PORDB1">
          <a:extLst>
            <a:ext uri="{FF2B5EF4-FFF2-40B4-BE49-F238E27FC236}">
              <a16:creationId xmlns="" xmlns:a16="http://schemas.microsoft.com/office/drawing/2014/main" id="{00000000-0008-0000-0000-00009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8" name="PORDB1">
          <a:extLst>
            <a:ext uri="{FF2B5EF4-FFF2-40B4-BE49-F238E27FC236}">
              <a16:creationId xmlns="" xmlns:a16="http://schemas.microsoft.com/office/drawing/2014/main" id="{00000000-0008-0000-0000-00009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59" name="PORDB1">
          <a:extLst>
            <a:ext uri="{FF2B5EF4-FFF2-40B4-BE49-F238E27FC236}">
              <a16:creationId xmlns="" xmlns:a16="http://schemas.microsoft.com/office/drawing/2014/main" id="{00000000-0008-0000-0000-00009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0" name="PORDB1">
          <a:extLst>
            <a:ext uri="{FF2B5EF4-FFF2-40B4-BE49-F238E27FC236}">
              <a16:creationId xmlns="" xmlns:a16="http://schemas.microsoft.com/office/drawing/2014/main" id="{00000000-0008-0000-0000-0000A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1" name="PORDB1">
          <a:extLst>
            <a:ext uri="{FF2B5EF4-FFF2-40B4-BE49-F238E27FC236}">
              <a16:creationId xmlns="" xmlns:a16="http://schemas.microsoft.com/office/drawing/2014/main" id="{00000000-0008-0000-0000-0000A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2" name="PORDB1">
          <a:extLst>
            <a:ext uri="{FF2B5EF4-FFF2-40B4-BE49-F238E27FC236}">
              <a16:creationId xmlns="" xmlns:a16="http://schemas.microsoft.com/office/drawing/2014/main" id="{00000000-0008-0000-0000-0000A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3" name="PORDB1">
          <a:extLst>
            <a:ext uri="{FF2B5EF4-FFF2-40B4-BE49-F238E27FC236}">
              <a16:creationId xmlns="" xmlns:a16="http://schemas.microsoft.com/office/drawing/2014/main" id="{00000000-0008-0000-0000-0000A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4" name="PORDB1">
          <a:extLst>
            <a:ext uri="{FF2B5EF4-FFF2-40B4-BE49-F238E27FC236}">
              <a16:creationId xmlns="" xmlns:a16="http://schemas.microsoft.com/office/drawing/2014/main" id="{00000000-0008-0000-0000-0000A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5" name="PORDB1">
          <a:extLst>
            <a:ext uri="{FF2B5EF4-FFF2-40B4-BE49-F238E27FC236}">
              <a16:creationId xmlns="" xmlns:a16="http://schemas.microsoft.com/office/drawing/2014/main" id="{00000000-0008-0000-0000-0000A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6" name="PORDB1">
          <a:extLst>
            <a:ext uri="{FF2B5EF4-FFF2-40B4-BE49-F238E27FC236}">
              <a16:creationId xmlns="" xmlns:a16="http://schemas.microsoft.com/office/drawing/2014/main" id="{00000000-0008-0000-0000-0000A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7" name="PORDB1">
          <a:extLst>
            <a:ext uri="{FF2B5EF4-FFF2-40B4-BE49-F238E27FC236}">
              <a16:creationId xmlns="" xmlns:a16="http://schemas.microsoft.com/office/drawing/2014/main" id="{00000000-0008-0000-0000-0000A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8" name="PORDB1">
          <a:extLst>
            <a:ext uri="{FF2B5EF4-FFF2-40B4-BE49-F238E27FC236}">
              <a16:creationId xmlns="" xmlns:a16="http://schemas.microsoft.com/office/drawing/2014/main" id="{00000000-0008-0000-0000-0000A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69" name="PORDB1">
          <a:extLst>
            <a:ext uri="{FF2B5EF4-FFF2-40B4-BE49-F238E27FC236}">
              <a16:creationId xmlns="" xmlns:a16="http://schemas.microsoft.com/office/drawing/2014/main" id="{00000000-0008-0000-0000-0000A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0" name="PORDB1">
          <a:extLst>
            <a:ext uri="{FF2B5EF4-FFF2-40B4-BE49-F238E27FC236}">
              <a16:creationId xmlns="" xmlns:a16="http://schemas.microsoft.com/office/drawing/2014/main" id="{00000000-0008-0000-0000-0000A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1" name="PORDB1">
          <a:extLst>
            <a:ext uri="{FF2B5EF4-FFF2-40B4-BE49-F238E27FC236}">
              <a16:creationId xmlns="" xmlns:a16="http://schemas.microsoft.com/office/drawing/2014/main" id="{00000000-0008-0000-0000-0000A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2" name="PORDB1">
          <a:extLst>
            <a:ext uri="{FF2B5EF4-FFF2-40B4-BE49-F238E27FC236}">
              <a16:creationId xmlns="" xmlns:a16="http://schemas.microsoft.com/office/drawing/2014/main" id="{00000000-0008-0000-0000-0000A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3" name="PORDB1">
          <a:extLst>
            <a:ext uri="{FF2B5EF4-FFF2-40B4-BE49-F238E27FC236}">
              <a16:creationId xmlns="" xmlns:a16="http://schemas.microsoft.com/office/drawing/2014/main" id="{00000000-0008-0000-0000-0000A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4" name="PORDB1">
          <a:extLst>
            <a:ext uri="{FF2B5EF4-FFF2-40B4-BE49-F238E27FC236}">
              <a16:creationId xmlns="" xmlns:a16="http://schemas.microsoft.com/office/drawing/2014/main" id="{00000000-0008-0000-0000-0000A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5" name="PORDB1">
          <a:extLst>
            <a:ext uri="{FF2B5EF4-FFF2-40B4-BE49-F238E27FC236}">
              <a16:creationId xmlns="" xmlns:a16="http://schemas.microsoft.com/office/drawing/2014/main" id="{00000000-0008-0000-0000-0000A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6" name="PORDB1">
          <a:extLst>
            <a:ext uri="{FF2B5EF4-FFF2-40B4-BE49-F238E27FC236}">
              <a16:creationId xmlns="" xmlns:a16="http://schemas.microsoft.com/office/drawing/2014/main" id="{00000000-0008-0000-0000-0000B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7" name="PORDB1">
          <a:extLst>
            <a:ext uri="{FF2B5EF4-FFF2-40B4-BE49-F238E27FC236}">
              <a16:creationId xmlns="" xmlns:a16="http://schemas.microsoft.com/office/drawing/2014/main" id="{00000000-0008-0000-0000-0000B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8" name="PORDB1">
          <a:extLst>
            <a:ext uri="{FF2B5EF4-FFF2-40B4-BE49-F238E27FC236}">
              <a16:creationId xmlns="" xmlns:a16="http://schemas.microsoft.com/office/drawing/2014/main" id="{00000000-0008-0000-0000-0000B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79" name="PORDB1">
          <a:extLst>
            <a:ext uri="{FF2B5EF4-FFF2-40B4-BE49-F238E27FC236}">
              <a16:creationId xmlns="" xmlns:a16="http://schemas.microsoft.com/office/drawing/2014/main" id="{00000000-0008-0000-0000-0000B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0" name="PORDB1">
          <a:extLst>
            <a:ext uri="{FF2B5EF4-FFF2-40B4-BE49-F238E27FC236}">
              <a16:creationId xmlns="" xmlns:a16="http://schemas.microsoft.com/office/drawing/2014/main" id="{00000000-0008-0000-0000-0000B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1" name="PORDB1">
          <a:extLst>
            <a:ext uri="{FF2B5EF4-FFF2-40B4-BE49-F238E27FC236}">
              <a16:creationId xmlns="" xmlns:a16="http://schemas.microsoft.com/office/drawing/2014/main" id="{00000000-0008-0000-0000-0000B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2" name="PORDB1">
          <a:extLst>
            <a:ext uri="{FF2B5EF4-FFF2-40B4-BE49-F238E27FC236}">
              <a16:creationId xmlns="" xmlns:a16="http://schemas.microsoft.com/office/drawing/2014/main" id="{00000000-0008-0000-0000-0000B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3" name="PORDB1">
          <a:extLst>
            <a:ext uri="{FF2B5EF4-FFF2-40B4-BE49-F238E27FC236}">
              <a16:creationId xmlns="" xmlns:a16="http://schemas.microsoft.com/office/drawing/2014/main" id="{00000000-0008-0000-0000-0000B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4" name="PORDB1">
          <a:extLst>
            <a:ext uri="{FF2B5EF4-FFF2-40B4-BE49-F238E27FC236}">
              <a16:creationId xmlns="" xmlns:a16="http://schemas.microsoft.com/office/drawing/2014/main" id="{00000000-0008-0000-0000-0000B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5" name="PORDB1">
          <a:extLst>
            <a:ext uri="{FF2B5EF4-FFF2-40B4-BE49-F238E27FC236}">
              <a16:creationId xmlns="" xmlns:a16="http://schemas.microsoft.com/office/drawing/2014/main" id="{00000000-0008-0000-0000-0000B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6" name="PORDB1">
          <a:extLst>
            <a:ext uri="{FF2B5EF4-FFF2-40B4-BE49-F238E27FC236}">
              <a16:creationId xmlns="" xmlns:a16="http://schemas.microsoft.com/office/drawing/2014/main" id="{00000000-0008-0000-0000-0000B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7" name="PORDB1">
          <a:extLst>
            <a:ext uri="{FF2B5EF4-FFF2-40B4-BE49-F238E27FC236}">
              <a16:creationId xmlns="" xmlns:a16="http://schemas.microsoft.com/office/drawing/2014/main" id="{00000000-0008-0000-0000-0000B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8" name="PORDB1">
          <a:extLst>
            <a:ext uri="{FF2B5EF4-FFF2-40B4-BE49-F238E27FC236}">
              <a16:creationId xmlns="" xmlns:a16="http://schemas.microsoft.com/office/drawing/2014/main" id="{00000000-0008-0000-0000-0000B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89" name="PORDB1">
          <a:extLst>
            <a:ext uri="{FF2B5EF4-FFF2-40B4-BE49-F238E27FC236}">
              <a16:creationId xmlns="" xmlns:a16="http://schemas.microsoft.com/office/drawing/2014/main" id="{00000000-0008-0000-0000-0000B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0</xdr:col>
      <xdr:colOff>0</xdr:colOff>
      <xdr:row>10</xdr:row>
      <xdr:rowOff>76200</xdr:rowOff>
    </xdr:from>
    <xdr:to>
      <xdr:col>9</xdr:col>
      <xdr:colOff>0</xdr:colOff>
      <xdr:row>15</xdr:row>
      <xdr:rowOff>57150</xdr:rowOff>
    </xdr:to>
    <xdr:sp macro="" textlink="">
      <xdr:nvSpPr>
        <xdr:cNvPr id="190" name="PORDB1">
          <a:extLst>
            <a:ext uri="{FF2B5EF4-FFF2-40B4-BE49-F238E27FC236}">
              <a16:creationId xmlns="" xmlns:a16="http://schemas.microsoft.com/office/drawing/2014/main" id="{00000000-0008-0000-0000-0000B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91" name="PORDB1">
          <a:extLst>
            <a:ext uri="{FF2B5EF4-FFF2-40B4-BE49-F238E27FC236}">
              <a16:creationId xmlns="" xmlns:a16="http://schemas.microsoft.com/office/drawing/2014/main" id="{00000000-0008-0000-0000-0000B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92" name="PORDB1">
          <a:extLst>
            <a:ext uri="{FF2B5EF4-FFF2-40B4-BE49-F238E27FC236}">
              <a16:creationId xmlns="" xmlns:a16="http://schemas.microsoft.com/office/drawing/2014/main" id="{00000000-0008-0000-0000-0000C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93" name="PORDB1">
          <a:extLst>
            <a:ext uri="{FF2B5EF4-FFF2-40B4-BE49-F238E27FC236}">
              <a16:creationId xmlns="" xmlns:a16="http://schemas.microsoft.com/office/drawing/2014/main" id="{00000000-0008-0000-0000-0000C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94" name="PORDB1">
          <a:extLst>
            <a:ext uri="{FF2B5EF4-FFF2-40B4-BE49-F238E27FC236}">
              <a16:creationId xmlns="" xmlns:a16="http://schemas.microsoft.com/office/drawing/2014/main" id="{00000000-0008-0000-0000-0000C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95" name="PORDB1">
          <a:extLst>
            <a:ext uri="{FF2B5EF4-FFF2-40B4-BE49-F238E27FC236}">
              <a16:creationId xmlns="" xmlns:a16="http://schemas.microsoft.com/office/drawing/2014/main" id="{00000000-0008-0000-0000-0000C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96" name="PORDB1">
          <a:extLst>
            <a:ext uri="{FF2B5EF4-FFF2-40B4-BE49-F238E27FC236}">
              <a16:creationId xmlns="" xmlns:a16="http://schemas.microsoft.com/office/drawing/2014/main" id="{00000000-0008-0000-0000-0000C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97" name="PORDB1">
          <a:extLst>
            <a:ext uri="{FF2B5EF4-FFF2-40B4-BE49-F238E27FC236}">
              <a16:creationId xmlns="" xmlns:a16="http://schemas.microsoft.com/office/drawing/2014/main" id="{00000000-0008-0000-0000-0000C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98" name="PORDB1">
          <a:extLst>
            <a:ext uri="{FF2B5EF4-FFF2-40B4-BE49-F238E27FC236}">
              <a16:creationId xmlns="" xmlns:a16="http://schemas.microsoft.com/office/drawing/2014/main" id="{00000000-0008-0000-0000-0000C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199" name="PORDB1">
          <a:extLst>
            <a:ext uri="{FF2B5EF4-FFF2-40B4-BE49-F238E27FC236}">
              <a16:creationId xmlns="" xmlns:a16="http://schemas.microsoft.com/office/drawing/2014/main" id="{00000000-0008-0000-0000-0000C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0" name="PORDB1">
          <a:extLst>
            <a:ext uri="{FF2B5EF4-FFF2-40B4-BE49-F238E27FC236}">
              <a16:creationId xmlns="" xmlns:a16="http://schemas.microsoft.com/office/drawing/2014/main" id="{00000000-0008-0000-0000-0000C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1" name="PORDB1">
          <a:extLst>
            <a:ext uri="{FF2B5EF4-FFF2-40B4-BE49-F238E27FC236}">
              <a16:creationId xmlns="" xmlns:a16="http://schemas.microsoft.com/office/drawing/2014/main" id="{00000000-0008-0000-0000-0000C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2" name="PORDB1">
          <a:extLst>
            <a:ext uri="{FF2B5EF4-FFF2-40B4-BE49-F238E27FC236}">
              <a16:creationId xmlns="" xmlns:a16="http://schemas.microsoft.com/office/drawing/2014/main" id="{00000000-0008-0000-0000-0000C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3" name="PORDB1">
          <a:extLst>
            <a:ext uri="{FF2B5EF4-FFF2-40B4-BE49-F238E27FC236}">
              <a16:creationId xmlns="" xmlns:a16="http://schemas.microsoft.com/office/drawing/2014/main" id="{00000000-0008-0000-0000-0000C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4" name="PORDB1">
          <a:extLst>
            <a:ext uri="{FF2B5EF4-FFF2-40B4-BE49-F238E27FC236}">
              <a16:creationId xmlns="" xmlns:a16="http://schemas.microsoft.com/office/drawing/2014/main" id="{00000000-0008-0000-0000-0000C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5" name="PORDB1">
          <a:extLst>
            <a:ext uri="{FF2B5EF4-FFF2-40B4-BE49-F238E27FC236}">
              <a16:creationId xmlns="" xmlns:a16="http://schemas.microsoft.com/office/drawing/2014/main" id="{00000000-0008-0000-0000-0000C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6" name="PORDB1">
          <a:extLst>
            <a:ext uri="{FF2B5EF4-FFF2-40B4-BE49-F238E27FC236}">
              <a16:creationId xmlns="" xmlns:a16="http://schemas.microsoft.com/office/drawing/2014/main" id="{00000000-0008-0000-0000-0000C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7" name="PORDB1">
          <a:extLst>
            <a:ext uri="{FF2B5EF4-FFF2-40B4-BE49-F238E27FC236}">
              <a16:creationId xmlns="" xmlns:a16="http://schemas.microsoft.com/office/drawing/2014/main" id="{00000000-0008-0000-0000-0000C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8" name="PORDB1">
          <a:extLst>
            <a:ext uri="{FF2B5EF4-FFF2-40B4-BE49-F238E27FC236}">
              <a16:creationId xmlns="" xmlns:a16="http://schemas.microsoft.com/office/drawing/2014/main" id="{00000000-0008-0000-0000-0000D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09" name="PORDB1">
          <a:extLst>
            <a:ext uri="{FF2B5EF4-FFF2-40B4-BE49-F238E27FC236}">
              <a16:creationId xmlns="" xmlns:a16="http://schemas.microsoft.com/office/drawing/2014/main" id="{00000000-0008-0000-0000-0000D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0" name="PORDB1">
          <a:extLst>
            <a:ext uri="{FF2B5EF4-FFF2-40B4-BE49-F238E27FC236}">
              <a16:creationId xmlns="" xmlns:a16="http://schemas.microsoft.com/office/drawing/2014/main" id="{00000000-0008-0000-0000-0000D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1" name="PORDB1">
          <a:extLst>
            <a:ext uri="{FF2B5EF4-FFF2-40B4-BE49-F238E27FC236}">
              <a16:creationId xmlns="" xmlns:a16="http://schemas.microsoft.com/office/drawing/2014/main" id="{00000000-0008-0000-0000-0000D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2" name="PORDB1">
          <a:extLst>
            <a:ext uri="{FF2B5EF4-FFF2-40B4-BE49-F238E27FC236}">
              <a16:creationId xmlns="" xmlns:a16="http://schemas.microsoft.com/office/drawing/2014/main" id="{00000000-0008-0000-0000-0000D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3" name="PORDB1">
          <a:extLst>
            <a:ext uri="{FF2B5EF4-FFF2-40B4-BE49-F238E27FC236}">
              <a16:creationId xmlns="" xmlns:a16="http://schemas.microsoft.com/office/drawing/2014/main" id="{00000000-0008-0000-0000-0000D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4" name="PORDB1">
          <a:extLst>
            <a:ext uri="{FF2B5EF4-FFF2-40B4-BE49-F238E27FC236}">
              <a16:creationId xmlns="" xmlns:a16="http://schemas.microsoft.com/office/drawing/2014/main" id="{00000000-0008-0000-0000-0000D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5" name="PORDB1">
          <a:extLst>
            <a:ext uri="{FF2B5EF4-FFF2-40B4-BE49-F238E27FC236}">
              <a16:creationId xmlns="" xmlns:a16="http://schemas.microsoft.com/office/drawing/2014/main" id="{00000000-0008-0000-0000-0000D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6" name="PORDB1">
          <a:extLst>
            <a:ext uri="{FF2B5EF4-FFF2-40B4-BE49-F238E27FC236}">
              <a16:creationId xmlns="" xmlns:a16="http://schemas.microsoft.com/office/drawing/2014/main" id="{00000000-0008-0000-0000-0000D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7" name="PORDB1">
          <a:extLst>
            <a:ext uri="{FF2B5EF4-FFF2-40B4-BE49-F238E27FC236}">
              <a16:creationId xmlns="" xmlns:a16="http://schemas.microsoft.com/office/drawing/2014/main" id="{00000000-0008-0000-0000-0000D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8" name="PORDB1">
          <a:extLst>
            <a:ext uri="{FF2B5EF4-FFF2-40B4-BE49-F238E27FC236}">
              <a16:creationId xmlns="" xmlns:a16="http://schemas.microsoft.com/office/drawing/2014/main" id="{00000000-0008-0000-0000-0000D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19" name="PORDB1">
          <a:extLst>
            <a:ext uri="{FF2B5EF4-FFF2-40B4-BE49-F238E27FC236}">
              <a16:creationId xmlns="" xmlns:a16="http://schemas.microsoft.com/office/drawing/2014/main" id="{00000000-0008-0000-0000-0000D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20" name="PORDB1">
          <a:extLst>
            <a:ext uri="{FF2B5EF4-FFF2-40B4-BE49-F238E27FC236}">
              <a16:creationId xmlns="" xmlns:a16="http://schemas.microsoft.com/office/drawing/2014/main" id="{00000000-0008-0000-0000-0000D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21" name="PORDB1">
          <a:extLst>
            <a:ext uri="{FF2B5EF4-FFF2-40B4-BE49-F238E27FC236}">
              <a16:creationId xmlns="" xmlns:a16="http://schemas.microsoft.com/office/drawing/2014/main" id="{00000000-0008-0000-0000-0000D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22" name="PORDB1">
          <a:extLst>
            <a:ext uri="{FF2B5EF4-FFF2-40B4-BE49-F238E27FC236}">
              <a16:creationId xmlns="" xmlns:a16="http://schemas.microsoft.com/office/drawing/2014/main" id="{00000000-0008-0000-0000-0000D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23" name="PORDB1">
          <a:extLst>
            <a:ext uri="{FF2B5EF4-FFF2-40B4-BE49-F238E27FC236}">
              <a16:creationId xmlns="" xmlns:a16="http://schemas.microsoft.com/office/drawing/2014/main" id="{00000000-0008-0000-0000-0000D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24" name="PORDB1">
          <a:extLst>
            <a:ext uri="{FF2B5EF4-FFF2-40B4-BE49-F238E27FC236}">
              <a16:creationId xmlns="" xmlns:a16="http://schemas.microsoft.com/office/drawing/2014/main" id="{00000000-0008-0000-0000-0000E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25" name="PORDB1">
          <a:extLst>
            <a:ext uri="{FF2B5EF4-FFF2-40B4-BE49-F238E27FC236}">
              <a16:creationId xmlns="" xmlns:a16="http://schemas.microsoft.com/office/drawing/2014/main" id="{00000000-0008-0000-0000-0000E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26" name="PORDB1">
          <a:extLst>
            <a:ext uri="{FF2B5EF4-FFF2-40B4-BE49-F238E27FC236}">
              <a16:creationId xmlns="" xmlns:a16="http://schemas.microsoft.com/office/drawing/2014/main" id="{00000000-0008-0000-0000-0000E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27" name="PORDB1">
          <a:extLst>
            <a:ext uri="{FF2B5EF4-FFF2-40B4-BE49-F238E27FC236}">
              <a16:creationId xmlns="" xmlns:a16="http://schemas.microsoft.com/office/drawing/2014/main" id="{00000000-0008-0000-0000-0000E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28" name="PORDB1">
          <a:extLst>
            <a:ext uri="{FF2B5EF4-FFF2-40B4-BE49-F238E27FC236}">
              <a16:creationId xmlns="" xmlns:a16="http://schemas.microsoft.com/office/drawing/2014/main" id="{00000000-0008-0000-0000-0000E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0</xdr:col>
      <xdr:colOff>0</xdr:colOff>
      <xdr:row>10</xdr:row>
      <xdr:rowOff>76200</xdr:rowOff>
    </xdr:from>
    <xdr:to>
      <xdr:col>9</xdr:col>
      <xdr:colOff>0</xdr:colOff>
      <xdr:row>15</xdr:row>
      <xdr:rowOff>57150</xdr:rowOff>
    </xdr:to>
    <xdr:sp macro="" textlink="">
      <xdr:nvSpPr>
        <xdr:cNvPr id="229" name="PORDB1">
          <a:extLst>
            <a:ext uri="{FF2B5EF4-FFF2-40B4-BE49-F238E27FC236}">
              <a16:creationId xmlns="" xmlns:a16="http://schemas.microsoft.com/office/drawing/2014/main" id="{00000000-0008-0000-0000-0000E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0" name="PORDB1">
          <a:extLst>
            <a:ext uri="{FF2B5EF4-FFF2-40B4-BE49-F238E27FC236}">
              <a16:creationId xmlns="" xmlns:a16="http://schemas.microsoft.com/office/drawing/2014/main" id="{00000000-0008-0000-0000-0000E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1" name="PORDB1">
          <a:extLst>
            <a:ext uri="{FF2B5EF4-FFF2-40B4-BE49-F238E27FC236}">
              <a16:creationId xmlns="" xmlns:a16="http://schemas.microsoft.com/office/drawing/2014/main" id="{00000000-0008-0000-0000-0000E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2" name="PORDB1">
          <a:extLst>
            <a:ext uri="{FF2B5EF4-FFF2-40B4-BE49-F238E27FC236}">
              <a16:creationId xmlns="" xmlns:a16="http://schemas.microsoft.com/office/drawing/2014/main" id="{00000000-0008-0000-0000-0000E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3" name="PORDB1">
          <a:extLst>
            <a:ext uri="{FF2B5EF4-FFF2-40B4-BE49-F238E27FC236}">
              <a16:creationId xmlns="" xmlns:a16="http://schemas.microsoft.com/office/drawing/2014/main" id="{00000000-0008-0000-0000-0000E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4" name="PORDB1">
          <a:extLst>
            <a:ext uri="{FF2B5EF4-FFF2-40B4-BE49-F238E27FC236}">
              <a16:creationId xmlns="" xmlns:a16="http://schemas.microsoft.com/office/drawing/2014/main" id="{00000000-0008-0000-0000-0000E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5" name="PORDB1">
          <a:extLst>
            <a:ext uri="{FF2B5EF4-FFF2-40B4-BE49-F238E27FC236}">
              <a16:creationId xmlns="" xmlns:a16="http://schemas.microsoft.com/office/drawing/2014/main" id="{00000000-0008-0000-0000-0000E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6" name="PORDB1">
          <a:extLst>
            <a:ext uri="{FF2B5EF4-FFF2-40B4-BE49-F238E27FC236}">
              <a16:creationId xmlns="" xmlns:a16="http://schemas.microsoft.com/office/drawing/2014/main" id="{00000000-0008-0000-0000-0000E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7" name="PORDB1">
          <a:extLst>
            <a:ext uri="{FF2B5EF4-FFF2-40B4-BE49-F238E27FC236}">
              <a16:creationId xmlns="" xmlns:a16="http://schemas.microsoft.com/office/drawing/2014/main" id="{00000000-0008-0000-0000-0000E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8" name="PORDB1">
          <a:extLst>
            <a:ext uri="{FF2B5EF4-FFF2-40B4-BE49-F238E27FC236}">
              <a16:creationId xmlns="" xmlns:a16="http://schemas.microsoft.com/office/drawing/2014/main" id="{00000000-0008-0000-0000-0000E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39" name="PORDB1">
          <a:extLst>
            <a:ext uri="{FF2B5EF4-FFF2-40B4-BE49-F238E27FC236}">
              <a16:creationId xmlns="" xmlns:a16="http://schemas.microsoft.com/office/drawing/2014/main" id="{00000000-0008-0000-0000-0000E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0" name="PORDB1">
          <a:extLst>
            <a:ext uri="{FF2B5EF4-FFF2-40B4-BE49-F238E27FC236}">
              <a16:creationId xmlns="" xmlns:a16="http://schemas.microsoft.com/office/drawing/2014/main" id="{00000000-0008-0000-0000-0000F0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1" name="PORDB1">
          <a:extLst>
            <a:ext uri="{FF2B5EF4-FFF2-40B4-BE49-F238E27FC236}">
              <a16:creationId xmlns="" xmlns:a16="http://schemas.microsoft.com/office/drawing/2014/main" id="{00000000-0008-0000-0000-0000F1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2" name="PORDB1">
          <a:extLst>
            <a:ext uri="{FF2B5EF4-FFF2-40B4-BE49-F238E27FC236}">
              <a16:creationId xmlns="" xmlns:a16="http://schemas.microsoft.com/office/drawing/2014/main" id="{00000000-0008-0000-0000-0000F2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3" name="PORDB1">
          <a:extLst>
            <a:ext uri="{FF2B5EF4-FFF2-40B4-BE49-F238E27FC236}">
              <a16:creationId xmlns="" xmlns:a16="http://schemas.microsoft.com/office/drawing/2014/main" id="{00000000-0008-0000-0000-0000F3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4" name="PORDB1">
          <a:extLst>
            <a:ext uri="{FF2B5EF4-FFF2-40B4-BE49-F238E27FC236}">
              <a16:creationId xmlns="" xmlns:a16="http://schemas.microsoft.com/office/drawing/2014/main" id="{00000000-0008-0000-0000-0000F4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5" name="PORDB1">
          <a:extLst>
            <a:ext uri="{FF2B5EF4-FFF2-40B4-BE49-F238E27FC236}">
              <a16:creationId xmlns="" xmlns:a16="http://schemas.microsoft.com/office/drawing/2014/main" id="{00000000-0008-0000-0000-0000F5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6" name="PORDB1">
          <a:extLst>
            <a:ext uri="{FF2B5EF4-FFF2-40B4-BE49-F238E27FC236}">
              <a16:creationId xmlns="" xmlns:a16="http://schemas.microsoft.com/office/drawing/2014/main" id="{00000000-0008-0000-0000-0000F6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7" name="PORDB1">
          <a:extLst>
            <a:ext uri="{FF2B5EF4-FFF2-40B4-BE49-F238E27FC236}">
              <a16:creationId xmlns="" xmlns:a16="http://schemas.microsoft.com/office/drawing/2014/main" id="{00000000-0008-0000-0000-0000F7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8" name="PORDB1">
          <a:extLst>
            <a:ext uri="{FF2B5EF4-FFF2-40B4-BE49-F238E27FC236}">
              <a16:creationId xmlns="" xmlns:a16="http://schemas.microsoft.com/office/drawing/2014/main" id="{00000000-0008-0000-0000-0000F8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49" name="PORDB1">
          <a:extLst>
            <a:ext uri="{FF2B5EF4-FFF2-40B4-BE49-F238E27FC236}">
              <a16:creationId xmlns="" xmlns:a16="http://schemas.microsoft.com/office/drawing/2014/main" id="{00000000-0008-0000-0000-0000F9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0" name="PORDB1">
          <a:extLst>
            <a:ext uri="{FF2B5EF4-FFF2-40B4-BE49-F238E27FC236}">
              <a16:creationId xmlns="" xmlns:a16="http://schemas.microsoft.com/office/drawing/2014/main" id="{00000000-0008-0000-0000-0000FA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1" name="PORDB1">
          <a:extLst>
            <a:ext uri="{FF2B5EF4-FFF2-40B4-BE49-F238E27FC236}">
              <a16:creationId xmlns="" xmlns:a16="http://schemas.microsoft.com/office/drawing/2014/main" id="{00000000-0008-0000-0000-0000FB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2" name="PORDB1">
          <a:extLst>
            <a:ext uri="{FF2B5EF4-FFF2-40B4-BE49-F238E27FC236}">
              <a16:creationId xmlns="" xmlns:a16="http://schemas.microsoft.com/office/drawing/2014/main" id="{00000000-0008-0000-0000-0000FC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3" name="PORDB1">
          <a:extLst>
            <a:ext uri="{FF2B5EF4-FFF2-40B4-BE49-F238E27FC236}">
              <a16:creationId xmlns="" xmlns:a16="http://schemas.microsoft.com/office/drawing/2014/main" id="{00000000-0008-0000-0000-0000FD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4" name="PORDB1">
          <a:extLst>
            <a:ext uri="{FF2B5EF4-FFF2-40B4-BE49-F238E27FC236}">
              <a16:creationId xmlns="" xmlns:a16="http://schemas.microsoft.com/office/drawing/2014/main" id="{00000000-0008-0000-0000-0000FE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5" name="PORDB1">
          <a:extLst>
            <a:ext uri="{FF2B5EF4-FFF2-40B4-BE49-F238E27FC236}">
              <a16:creationId xmlns="" xmlns:a16="http://schemas.microsoft.com/office/drawing/2014/main" id="{00000000-0008-0000-0000-0000FF00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6" name="PORDB1">
          <a:extLst>
            <a:ext uri="{FF2B5EF4-FFF2-40B4-BE49-F238E27FC236}">
              <a16:creationId xmlns="" xmlns:a16="http://schemas.microsoft.com/office/drawing/2014/main" id="{00000000-0008-0000-0000-000000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7" name="PORDB1">
          <a:extLst>
            <a:ext uri="{FF2B5EF4-FFF2-40B4-BE49-F238E27FC236}">
              <a16:creationId xmlns="" xmlns:a16="http://schemas.microsoft.com/office/drawing/2014/main" id="{00000000-0008-0000-0000-000001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8" name="PORDB1">
          <a:extLst>
            <a:ext uri="{FF2B5EF4-FFF2-40B4-BE49-F238E27FC236}">
              <a16:creationId xmlns="" xmlns:a16="http://schemas.microsoft.com/office/drawing/2014/main" id="{00000000-0008-0000-0000-000002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59" name="PORDB1">
          <a:extLst>
            <a:ext uri="{FF2B5EF4-FFF2-40B4-BE49-F238E27FC236}">
              <a16:creationId xmlns="" xmlns:a16="http://schemas.microsoft.com/office/drawing/2014/main" id="{00000000-0008-0000-0000-000003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0" name="PORDB1">
          <a:extLst>
            <a:ext uri="{FF2B5EF4-FFF2-40B4-BE49-F238E27FC236}">
              <a16:creationId xmlns="" xmlns:a16="http://schemas.microsoft.com/office/drawing/2014/main" id="{00000000-0008-0000-0000-000004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1" name="PORDB1">
          <a:extLst>
            <a:ext uri="{FF2B5EF4-FFF2-40B4-BE49-F238E27FC236}">
              <a16:creationId xmlns="" xmlns:a16="http://schemas.microsoft.com/office/drawing/2014/main" id="{00000000-0008-0000-0000-000005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2" name="PORDB1">
          <a:extLst>
            <a:ext uri="{FF2B5EF4-FFF2-40B4-BE49-F238E27FC236}">
              <a16:creationId xmlns="" xmlns:a16="http://schemas.microsoft.com/office/drawing/2014/main" id="{00000000-0008-0000-0000-000006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3" name="PORDB1">
          <a:extLst>
            <a:ext uri="{FF2B5EF4-FFF2-40B4-BE49-F238E27FC236}">
              <a16:creationId xmlns="" xmlns:a16="http://schemas.microsoft.com/office/drawing/2014/main" id="{00000000-0008-0000-0000-000007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4" name="PORDB1">
          <a:extLst>
            <a:ext uri="{FF2B5EF4-FFF2-40B4-BE49-F238E27FC236}">
              <a16:creationId xmlns="" xmlns:a16="http://schemas.microsoft.com/office/drawing/2014/main" id="{00000000-0008-0000-0000-000008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5" name="PORDB1">
          <a:extLst>
            <a:ext uri="{FF2B5EF4-FFF2-40B4-BE49-F238E27FC236}">
              <a16:creationId xmlns="" xmlns:a16="http://schemas.microsoft.com/office/drawing/2014/main" id="{00000000-0008-0000-0000-000009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6" name="PORDB1">
          <a:extLst>
            <a:ext uri="{FF2B5EF4-FFF2-40B4-BE49-F238E27FC236}">
              <a16:creationId xmlns="" xmlns:a16="http://schemas.microsoft.com/office/drawing/2014/main" id="{00000000-0008-0000-0000-00000A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7" name="PORDB1">
          <a:extLst>
            <a:ext uri="{FF2B5EF4-FFF2-40B4-BE49-F238E27FC236}">
              <a16:creationId xmlns="" xmlns:a16="http://schemas.microsoft.com/office/drawing/2014/main" id="{00000000-0008-0000-0000-00000B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8" name="PORDB1">
          <a:extLst>
            <a:ext uri="{FF2B5EF4-FFF2-40B4-BE49-F238E27FC236}">
              <a16:creationId xmlns="" xmlns:a16="http://schemas.microsoft.com/office/drawing/2014/main" id="{00000000-0008-0000-0000-00000C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69" name="PORDB1">
          <a:extLst>
            <a:ext uri="{FF2B5EF4-FFF2-40B4-BE49-F238E27FC236}">
              <a16:creationId xmlns="" xmlns:a16="http://schemas.microsoft.com/office/drawing/2014/main" id="{00000000-0008-0000-0000-00000D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0" name="PORDB1">
          <a:extLst>
            <a:ext uri="{FF2B5EF4-FFF2-40B4-BE49-F238E27FC236}">
              <a16:creationId xmlns="" xmlns:a16="http://schemas.microsoft.com/office/drawing/2014/main" id="{00000000-0008-0000-0000-00000E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1" name="PORDB1">
          <a:extLst>
            <a:ext uri="{FF2B5EF4-FFF2-40B4-BE49-F238E27FC236}">
              <a16:creationId xmlns="" xmlns:a16="http://schemas.microsoft.com/office/drawing/2014/main" id="{00000000-0008-0000-0000-00000F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2" name="PORDB1">
          <a:extLst>
            <a:ext uri="{FF2B5EF4-FFF2-40B4-BE49-F238E27FC236}">
              <a16:creationId xmlns="" xmlns:a16="http://schemas.microsoft.com/office/drawing/2014/main" id="{00000000-0008-0000-0000-000010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3" name="PORDB1">
          <a:extLst>
            <a:ext uri="{FF2B5EF4-FFF2-40B4-BE49-F238E27FC236}">
              <a16:creationId xmlns="" xmlns:a16="http://schemas.microsoft.com/office/drawing/2014/main" id="{00000000-0008-0000-0000-000011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4" name="PORDB1">
          <a:extLst>
            <a:ext uri="{FF2B5EF4-FFF2-40B4-BE49-F238E27FC236}">
              <a16:creationId xmlns="" xmlns:a16="http://schemas.microsoft.com/office/drawing/2014/main" id="{00000000-0008-0000-0000-000012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5" name="PORDB1">
          <a:extLst>
            <a:ext uri="{FF2B5EF4-FFF2-40B4-BE49-F238E27FC236}">
              <a16:creationId xmlns="" xmlns:a16="http://schemas.microsoft.com/office/drawing/2014/main" id="{00000000-0008-0000-0000-000013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6" name="PORDB1">
          <a:extLst>
            <a:ext uri="{FF2B5EF4-FFF2-40B4-BE49-F238E27FC236}">
              <a16:creationId xmlns="" xmlns:a16="http://schemas.microsoft.com/office/drawing/2014/main" id="{00000000-0008-0000-0000-000014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7" name="PORDB1">
          <a:extLst>
            <a:ext uri="{FF2B5EF4-FFF2-40B4-BE49-F238E27FC236}">
              <a16:creationId xmlns="" xmlns:a16="http://schemas.microsoft.com/office/drawing/2014/main" id="{00000000-0008-0000-0000-000015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8" name="PORDB1">
          <a:extLst>
            <a:ext uri="{FF2B5EF4-FFF2-40B4-BE49-F238E27FC236}">
              <a16:creationId xmlns="" xmlns:a16="http://schemas.microsoft.com/office/drawing/2014/main" id="{00000000-0008-0000-0000-000016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79" name="PORDB1">
          <a:extLst>
            <a:ext uri="{FF2B5EF4-FFF2-40B4-BE49-F238E27FC236}">
              <a16:creationId xmlns="" xmlns:a16="http://schemas.microsoft.com/office/drawing/2014/main" id="{00000000-0008-0000-0000-000017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0" name="PORDB1">
          <a:extLst>
            <a:ext uri="{FF2B5EF4-FFF2-40B4-BE49-F238E27FC236}">
              <a16:creationId xmlns="" xmlns:a16="http://schemas.microsoft.com/office/drawing/2014/main" id="{00000000-0008-0000-0000-000018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1" name="PORDB1">
          <a:extLst>
            <a:ext uri="{FF2B5EF4-FFF2-40B4-BE49-F238E27FC236}">
              <a16:creationId xmlns="" xmlns:a16="http://schemas.microsoft.com/office/drawing/2014/main" id="{00000000-0008-0000-0000-000019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2" name="PORDB1">
          <a:extLst>
            <a:ext uri="{FF2B5EF4-FFF2-40B4-BE49-F238E27FC236}">
              <a16:creationId xmlns="" xmlns:a16="http://schemas.microsoft.com/office/drawing/2014/main" id="{00000000-0008-0000-0000-00001A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3" name="PORDB1">
          <a:extLst>
            <a:ext uri="{FF2B5EF4-FFF2-40B4-BE49-F238E27FC236}">
              <a16:creationId xmlns="" xmlns:a16="http://schemas.microsoft.com/office/drawing/2014/main" id="{00000000-0008-0000-0000-00001B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4" name="PORDB1">
          <a:extLst>
            <a:ext uri="{FF2B5EF4-FFF2-40B4-BE49-F238E27FC236}">
              <a16:creationId xmlns="" xmlns:a16="http://schemas.microsoft.com/office/drawing/2014/main" id="{00000000-0008-0000-0000-00001C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5" name="PORDB1">
          <a:extLst>
            <a:ext uri="{FF2B5EF4-FFF2-40B4-BE49-F238E27FC236}">
              <a16:creationId xmlns="" xmlns:a16="http://schemas.microsoft.com/office/drawing/2014/main" id="{00000000-0008-0000-0000-00001D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6" name="PORDB1">
          <a:extLst>
            <a:ext uri="{FF2B5EF4-FFF2-40B4-BE49-F238E27FC236}">
              <a16:creationId xmlns="" xmlns:a16="http://schemas.microsoft.com/office/drawing/2014/main" id="{00000000-0008-0000-0000-00001E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7" name="PORDB1">
          <a:extLst>
            <a:ext uri="{FF2B5EF4-FFF2-40B4-BE49-F238E27FC236}">
              <a16:creationId xmlns="" xmlns:a16="http://schemas.microsoft.com/office/drawing/2014/main" id="{00000000-0008-0000-0000-00001F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8" name="PORDB1">
          <a:extLst>
            <a:ext uri="{FF2B5EF4-FFF2-40B4-BE49-F238E27FC236}">
              <a16:creationId xmlns="" xmlns:a16="http://schemas.microsoft.com/office/drawing/2014/main" id="{00000000-0008-0000-0000-000020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89" name="PORDB1">
          <a:extLst>
            <a:ext uri="{FF2B5EF4-FFF2-40B4-BE49-F238E27FC236}">
              <a16:creationId xmlns="" xmlns:a16="http://schemas.microsoft.com/office/drawing/2014/main" id="{00000000-0008-0000-0000-000021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0" name="PORDB1">
          <a:extLst>
            <a:ext uri="{FF2B5EF4-FFF2-40B4-BE49-F238E27FC236}">
              <a16:creationId xmlns="" xmlns:a16="http://schemas.microsoft.com/office/drawing/2014/main" id="{00000000-0008-0000-0000-000022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1" name="PORDB1">
          <a:extLst>
            <a:ext uri="{FF2B5EF4-FFF2-40B4-BE49-F238E27FC236}">
              <a16:creationId xmlns="" xmlns:a16="http://schemas.microsoft.com/office/drawing/2014/main" id="{00000000-0008-0000-0000-000023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2" name="PORDB1">
          <a:extLst>
            <a:ext uri="{FF2B5EF4-FFF2-40B4-BE49-F238E27FC236}">
              <a16:creationId xmlns="" xmlns:a16="http://schemas.microsoft.com/office/drawing/2014/main" id="{00000000-0008-0000-0000-000024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3" name="PORDB1">
          <a:extLst>
            <a:ext uri="{FF2B5EF4-FFF2-40B4-BE49-F238E27FC236}">
              <a16:creationId xmlns="" xmlns:a16="http://schemas.microsoft.com/office/drawing/2014/main" id="{00000000-0008-0000-0000-000025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4" name="PORDB1">
          <a:extLst>
            <a:ext uri="{FF2B5EF4-FFF2-40B4-BE49-F238E27FC236}">
              <a16:creationId xmlns="" xmlns:a16="http://schemas.microsoft.com/office/drawing/2014/main" id="{00000000-0008-0000-0000-000026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5" name="PORDB1">
          <a:extLst>
            <a:ext uri="{FF2B5EF4-FFF2-40B4-BE49-F238E27FC236}">
              <a16:creationId xmlns="" xmlns:a16="http://schemas.microsoft.com/office/drawing/2014/main" id="{00000000-0008-0000-0000-000027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6" name="PORDB1">
          <a:extLst>
            <a:ext uri="{FF2B5EF4-FFF2-40B4-BE49-F238E27FC236}">
              <a16:creationId xmlns="" xmlns:a16="http://schemas.microsoft.com/office/drawing/2014/main" id="{00000000-0008-0000-0000-000028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7" name="PORDB1">
          <a:extLst>
            <a:ext uri="{FF2B5EF4-FFF2-40B4-BE49-F238E27FC236}">
              <a16:creationId xmlns="" xmlns:a16="http://schemas.microsoft.com/office/drawing/2014/main" id="{00000000-0008-0000-0000-000029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8" name="PORDB1">
          <a:extLst>
            <a:ext uri="{FF2B5EF4-FFF2-40B4-BE49-F238E27FC236}">
              <a16:creationId xmlns="" xmlns:a16="http://schemas.microsoft.com/office/drawing/2014/main" id="{00000000-0008-0000-0000-00002A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299" name="PORDB1">
          <a:extLst>
            <a:ext uri="{FF2B5EF4-FFF2-40B4-BE49-F238E27FC236}">
              <a16:creationId xmlns="" xmlns:a16="http://schemas.microsoft.com/office/drawing/2014/main" id="{00000000-0008-0000-0000-00002B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0" name="PORDB1">
          <a:extLst>
            <a:ext uri="{FF2B5EF4-FFF2-40B4-BE49-F238E27FC236}">
              <a16:creationId xmlns="" xmlns:a16="http://schemas.microsoft.com/office/drawing/2014/main" id="{00000000-0008-0000-0000-00002C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1" name="PORDB1">
          <a:extLst>
            <a:ext uri="{FF2B5EF4-FFF2-40B4-BE49-F238E27FC236}">
              <a16:creationId xmlns="" xmlns:a16="http://schemas.microsoft.com/office/drawing/2014/main" id="{00000000-0008-0000-0000-00002D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2" name="PORDB1">
          <a:extLst>
            <a:ext uri="{FF2B5EF4-FFF2-40B4-BE49-F238E27FC236}">
              <a16:creationId xmlns="" xmlns:a16="http://schemas.microsoft.com/office/drawing/2014/main" id="{00000000-0008-0000-0000-00002E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3" name="PORDB1">
          <a:extLst>
            <a:ext uri="{FF2B5EF4-FFF2-40B4-BE49-F238E27FC236}">
              <a16:creationId xmlns="" xmlns:a16="http://schemas.microsoft.com/office/drawing/2014/main" id="{00000000-0008-0000-0000-00002F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4" name="PORDB1">
          <a:extLst>
            <a:ext uri="{FF2B5EF4-FFF2-40B4-BE49-F238E27FC236}">
              <a16:creationId xmlns="" xmlns:a16="http://schemas.microsoft.com/office/drawing/2014/main" id="{00000000-0008-0000-0000-000030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5" name="PORDB1">
          <a:extLst>
            <a:ext uri="{FF2B5EF4-FFF2-40B4-BE49-F238E27FC236}">
              <a16:creationId xmlns="" xmlns:a16="http://schemas.microsoft.com/office/drawing/2014/main" id="{00000000-0008-0000-0000-000031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6" name="PORDB1">
          <a:extLst>
            <a:ext uri="{FF2B5EF4-FFF2-40B4-BE49-F238E27FC236}">
              <a16:creationId xmlns="" xmlns:a16="http://schemas.microsoft.com/office/drawing/2014/main" id="{00000000-0008-0000-0000-000032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7" name="PORDB1">
          <a:extLst>
            <a:ext uri="{FF2B5EF4-FFF2-40B4-BE49-F238E27FC236}">
              <a16:creationId xmlns="" xmlns:a16="http://schemas.microsoft.com/office/drawing/2014/main" id="{00000000-0008-0000-0000-000033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8" name="PORDB1">
          <a:extLst>
            <a:ext uri="{FF2B5EF4-FFF2-40B4-BE49-F238E27FC236}">
              <a16:creationId xmlns="" xmlns:a16="http://schemas.microsoft.com/office/drawing/2014/main" id="{00000000-0008-0000-0000-000034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09" name="PORDB1">
          <a:extLst>
            <a:ext uri="{FF2B5EF4-FFF2-40B4-BE49-F238E27FC236}">
              <a16:creationId xmlns="" xmlns:a16="http://schemas.microsoft.com/office/drawing/2014/main" id="{00000000-0008-0000-0000-000035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10" name="PORDB1">
          <a:extLst>
            <a:ext uri="{FF2B5EF4-FFF2-40B4-BE49-F238E27FC236}">
              <a16:creationId xmlns="" xmlns:a16="http://schemas.microsoft.com/office/drawing/2014/main" id="{00000000-0008-0000-0000-000036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11" name="PORDB1">
          <a:extLst>
            <a:ext uri="{FF2B5EF4-FFF2-40B4-BE49-F238E27FC236}">
              <a16:creationId xmlns="" xmlns:a16="http://schemas.microsoft.com/office/drawing/2014/main" id="{00000000-0008-0000-0000-000037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0</xdr:col>
      <xdr:colOff>0</xdr:colOff>
      <xdr:row>10</xdr:row>
      <xdr:rowOff>76200</xdr:rowOff>
    </xdr:from>
    <xdr:to>
      <xdr:col>9</xdr:col>
      <xdr:colOff>0</xdr:colOff>
      <xdr:row>15</xdr:row>
      <xdr:rowOff>57150</xdr:rowOff>
    </xdr:to>
    <xdr:sp macro="" textlink="">
      <xdr:nvSpPr>
        <xdr:cNvPr id="312" name="PORDB1">
          <a:extLst>
            <a:ext uri="{FF2B5EF4-FFF2-40B4-BE49-F238E27FC236}">
              <a16:creationId xmlns="" xmlns:a16="http://schemas.microsoft.com/office/drawing/2014/main" id="{00000000-0008-0000-0000-000038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13" name="PORDB1">
          <a:extLst>
            <a:ext uri="{FF2B5EF4-FFF2-40B4-BE49-F238E27FC236}">
              <a16:creationId xmlns="" xmlns:a16="http://schemas.microsoft.com/office/drawing/2014/main" id="{00000000-0008-0000-0000-000039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1</xdr:col>
      <xdr:colOff>0</xdr:colOff>
      <xdr:row>10</xdr:row>
      <xdr:rowOff>76200</xdr:rowOff>
    </xdr:from>
    <xdr:to>
      <xdr:col>9</xdr:col>
      <xdr:colOff>0</xdr:colOff>
      <xdr:row>15</xdr:row>
      <xdr:rowOff>57150</xdr:rowOff>
    </xdr:to>
    <xdr:sp macro="" textlink="">
      <xdr:nvSpPr>
        <xdr:cNvPr id="314" name="PORDB1">
          <a:extLst>
            <a:ext uri="{FF2B5EF4-FFF2-40B4-BE49-F238E27FC236}">
              <a16:creationId xmlns="" xmlns:a16="http://schemas.microsoft.com/office/drawing/2014/main" id="{00000000-0008-0000-0000-00003A010000}"/>
            </a:ext>
          </a:extLst>
        </xdr:cNvPr>
        <xdr:cNvSpPr>
          <a:spLocks noChangeArrowheads="1"/>
        </xdr:cNvSpPr>
      </xdr:nvSpPr>
      <xdr:spPr bwMode="auto">
        <a:xfrm>
          <a:off x="0" y="1609725"/>
          <a:ext cx="4552950" cy="790575"/>
        </a:xfrm>
        <a:prstGeom prst="roundRect">
          <a:avLst>
            <a:gd name="adj" fmla="val 1282"/>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15" name="PORDB2">
          <a:extLst>
            <a:ext uri="{FF2B5EF4-FFF2-40B4-BE49-F238E27FC236}">
              <a16:creationId xmlns="" xmlns:a16="http://schemas.microsoft.com/office/drawing/2014/main" id="{00000000-0008-0000-0000-00003B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16" name="PORDB2">
          <a:extLst>
            <a:ext uri="{FF2B5EF4-FFF2-40B4-BE49-F238E27FC236}">
              <a16:creationId xmlns="" xmlns:a16="http://schemas.microsoft.com/office/drawing/2014/main" id="{00000000-0008-0000-0000-00003C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17" name="PORDB2">
          <a:extLst>
            <a:ext uri="{FF2B5EF4-FFF2-40B4-BE49-F238E27FC236}">
              <a16:creationId xmlns="" xmlns:a16="http://schemas.microsoft.com/office/drawing/2014/main" id="{00000000-0008-0000-0000-00003D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18" name="PORDB2">
          <a:extLst>
            <a:ext uri="{FF2B5EF4-FFF2-40B4-BE49-F238E27FC236}">
              <a16:creationId xmlns="" xmlns:a16="http://schemas.microsoft.com/office/drawing/2014/main" id="{00000000-0008-0000-0000-00003E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19" name="PORDB2">
          <a:extLst>
            <a:ext uri="{FF2B5EF4-FFF2-40B4-BE49-F238E27FC236}">
              <a16:creationId xmlns="" xmlns:a16="http://schemas.microsoft.com/office/drawing/2014/main" id="{00000000-0008-0000-0000-00003F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0" name="PORDB2">
          <a:extLst>
            <a:ext uri="{FF2B5EF4-FFF2-40B4-BE49-F238E27FC236}">
              <a16:creationId xmlns="" xmlns:a16="http://schemas.microsoft.com/office/drawing/2014/main" id="{00000000-0008-0000-0000-000040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1" name="PORDB2">
          <a:extLst>
            <a:ext uri="{FF2B5EF4-FFF2-40B4-BE49-F238E27FC236}">
              <a16:creationId xmlns="" xmlns:a16="http://schemas.microsoft.com/office/drawing/2014/main" id="{00000000-0008-0000-0000-000041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2" name="PORDB2">
          <a:extLst>
            <a:ext uri="{FF2B5EF4-FFF2-40B4-BE49-F238E27FC236}">
              <a16:creationId xmlns="" xmlns:a16="http://schemas.microsoft.com/office/drawing/2014/main" id="{00000000-0008-0000-0000-000042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3" name="PORDB2">
          <a:extLst>
            <a:ext uri="{FF2B5EF4-FFF2-40B4-BE49-F238E27FC236}">
              <a16:creationId xmlns="" xmlns:a16="http://schemas.microsoft.com/office/drawing/2014/main" id="{00000000-0008-0000-0000-000043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4" name="PORDB2">
          <a:extLst>
            <a:ext uri="{FF2B5EF4-FFF2-40B4-BE49-F238E27FC236}">
              <a16:creationId xmlns="" xmlns:a16="http://schemas.microsoft.com/office/drawing/2014/main" id="{00000000-0008-0000-0000-000044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5" name="PORDB2">
          <a:extLst>
            <a:ext uri="{FF2B5EF4-FFF2-40B4-BE49-F238E27FC236}">
              <a16:creationId xmlns="" xmlns:a16="http://schemas.microsoft.com/office/drawing/2014/main" id="{00000000-0008-0000-0000-000045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6" name="PORDB2">
          <a:extLst>
            <a:ext uri="{FF2B5EF4-FFF2-40B4-BE49-F238E27FC236}">
              <a16:creationId xmlns="" xmlns:a16="http://schemas.microsoft.com/office/drawing/2014/main" id="{00000000-0008-0000-0000-000046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7" name="PORDB2">
          <a:extLst>
            <a:ext uri="{FF2B5EF4-FFF2-40B4-BE49-F238E27FC236}">
              <a16:creationId xmlns="" xmlns:a16="http://schemas.microsoft.com/office/drawing/2014/main" id="{00000000-0008-0000-0000-000047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8" name="PORDB2">
          <a:extLst>
            <a:ext uri="{FF2B5EF4-FFF2-40B4-BE49-F238E27FC236}">
              <a16:creationId xmlns="" xmlns:a16="http://schemas.microsoft.com/office/drawing/2014/main" id="{00000000-0008-0000-0000-000048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29" name="PORDB2">
          <a:extLst>
            <a:ext uri="{FF2B5EF4-FFF2-40B4-BE49-F238E27FC236}">
              <a16:creationId xmlns="" xmlns:a16="http://schemas.microsoft.com/office/drawing/2014/main" id="{00000000-0008-0000-0000-000049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0" name="PORDB2">
          <a:extLst>
            <a:ext uri="{FF2B5EF4-FFF2-40B4-BE49-F238E27FC236}">
              <a16:creationId xmlns="" xmlns:a16="http://schemas.microsoft.com/office/drawing/2014/main" id="{00000000-0008-0000-0000-00004A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1" name="PORDB2">
          <a:extLst>
            <a:ext uri="{FF2B5EF4-FFF2-40B4-BE49-F238E27FC236}">
              <a16:creationId xmlns="" xmlns:a16="http://schemas.microsoft.com/office/drawing/2014/main" id="{00000000-0008-0000-0000-00004B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2" name="PORDB2">
          <a:extLst>
            <a:ext uri="{FF2B5EF4-FFF2-40B4-BE49-F238E27FC236}">
              <a16:creationId xmlns="" xmlns:a16="http://schemas.microsoft.com/office/drawing/2014/main" id="{00000000-0008-0000-0000-00004C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3" name="PORDB2">
          <a:extLst>
            <a:ext uri="{FF2B5EF4-FFF2-40B4-BE49-F238E27FC236}">
              <a16:creationId xmlns="" xmlns:a16="http://schemas.microsoft.com/office/drawing/2014/main" id="{00000000-0008-0000-0000-00004D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4" name="PORDB2">
          <a:extLst>
            <a:ext uri="{FF2B5EF4-FFF2-40B4-BE49-F238E27FC236}">
              <a16:creationId xmlns="" xmlns:a16="http://schemas.microsoft.com/office/drawing/2014/main" id="{00000000-0008-0000-0000-00004E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5" name="PORDB2">
          <a:extLst>
            <a:ext uri="{FF2B5EF4-FFF2-40B4-BE49-F238E27FC236}">
              <a16:creationId xmlns="" xmlns:a16="http://schemas.microsoft.com/office/drawing/2014/main" id="{00000000-0008-0000-0000-00004F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6" name="PORDB2">
          <a:extLst>
            <a:ext uri="{FF2B5EF4-FFF2-40B4-BE49-F238E27FC236}">
              <a16:creationId xmlns="" xmlns:a16="http://schemas.microsoft.com/office/drawing/2014/main" id="{00000000-0008-0000-0000-000050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7" name="PORDB2">
          <a:extLst>
            <a:ext uri="{FF2B5EF4-FFF2-40B4-BE49-F238E27FC236}">
              <a16:creationId xmlns="" xmlns:a16="http://schemas.microsoft.com/office/drawing/2014/main" id="{00000000-0008-0000-0000-000051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8" name="PORDB2">
          <a:extLst>
            <a:ext uri="{FF2B5EF4-FFF2-40B4-BE49-F238E27FC236}">
              <a16:creationId xmlns="" xmlns:a16="http://schemas.microsoft.com/office/drawing/2014/main" id="{00000000-0008-0000-0000-000052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39" name="PORDB2">
          <a:extLst>
            <a:ext uri="{FF2B5EF4-FFF2-40B4-BE49-F238E27FC236}">
              <a16:creationId xmlns="" xmlns:a16="http://schemas.microsoft.com/office/drawing/2014/main" id="{00000000-0008-0000-0000-000053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0" name="PORDB2">
          <a:extLst>
            <a:ext uri="{FF2B5EF4-FFF2-40B4-BE49-F238E27FC236}">
              <a16:creationId xmlns="" xmlns:a16="http://schemas.microsoft.com/office/drawing/2014/main" id="{00000000-0008-0000-0000-000054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1" name="PORDB2">
          <a:extLst>
            <a:ext uri="{FF2B5EF4-FFF2-40B4-BE49-F238E27FC236}">
              <a16:creationId xmlns="" xmlns:a16="http://schemas.microsoft.com/office/drawing/2014/main" id="{00000000-0008-0000-0000-000055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2" name="PORDB2">
          <a:extLst>
            <a:ext uri="{FF2B5EF4-FFF2-40B4-BE49-F238E27FC236}">
              <a16:creationId xmlns="" xmlns:a16="http://schemas.microsoft.com/office/drawing/2014/main" id="{00000000-0008-0000-0000-000056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3" name="PORDB2">
          <a:extLst>
            <a:ext uri="{FF2B5EF4-FFF2-40B4-BE49-F238E27FC236}">
              <a16:creationId xmlns="" xmlns:a16="http://schemas.microsoft.com/office/drawing/2014/main" id="{00000000-0008-0000-0000-000057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4" name="PORDB2">
          <a:extLst>
            <a:ext uri="{FF2B5EF4-FFF2-40B4-BE49-F238E27FC236}">
              <a16:creationId xmlns="" xmlns:a16="http://schemas.microsoft.com/office/drawing/2014/main" id="{00000000-0008-0000-0000-000058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5" name="PORDB2">
          <a:extLst>
            <a:ext uri="{FF2B5EF4-FFF2-40B4-BE49-F238E27FC236}">
              <a16:creationId xmlns="" xmlns:a16="http://schemas.microsoft.com/office/drawing/2014/main" id="{00000000-0008-0000-0000-000059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6" name="PORDB2">
          <a:extLst>
            <a:ext uri="{FF2B5EF4-FFF2-40B4-BE49-F238E27FC236}">
              <a16:creationId xmlns="" xmlns:a16="http://schemas.microsoft.com/office/drawing/2014/main" id="{00000000-0008-0000-0000-00005A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7" name="PORDB2">
          <a:extLst>
            <a:ext uri="{FF2B5EF4-FFF2-40B4-BE49-F238E27FC236}">
              <a16:creationId xmlns="" xmlns:a16="http://schemas.microsoft.com/office/drawing/2014/main" id="{00000000-0008-0000-0000-00005B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8" name="PORDB2">
          <a:extLst>
            <a:ext uri="{FF2B5EF4-FFF2-40B4-BE49-F238E27FC236}">
              <a16:creationId xmlns="" xmlns:a16="http://schemas.microsoft.com/office/drawing/2014/main" id="{00000000-0008-0000-0000-00005C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49" name="PORDB2">
          <a:extLst>
            <a:ext uri="{FF2B5EF4-FFF2-40B4-BE49-F238E27FC236}">
              <a16:creationId xmlns="" xmlns:a16="http://schemas.microsoft.com/office/drawing/2014/main" id="{00000000-0008-0000-0000-00005D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0" name="PORDB2">
          <a:extLst>
            <a:ext uri="{FF2B5EF4-FFF2-40B4-BE49-F238E27FC236}">
              <a16:creationId xmlns="" xmlns:a16="http://schemas.microsoft.com/office/drawing/2014/main" id="{00000000-0008-0000-0000-00005E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1" name="PORDB2">
          <a:extLst>
            <a:ext uri="{FF2B5EF4-FFF2-40B4-BE49-F238E27FC236}">
              <a16:creationId xmlns="" xmlns:a16="http://schemas.microsoft.com/office/drawing/2014/main" id="{00000000-0008-0000-0000-00005F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2" name="PORDB2">
          <a:extLst>
            <a:ext uri="{FF2B5EF4-FFF2-40B4-BE49-F238E27FC236}">
              <a16:creationId xmlns="" xmlns:a16="http://schemas.microsoft.com/office/drawing/2014/main" id="{00000000-0008-0000-0000-000060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3" name="PORDB2">
          <a:extLst>
            <a:ext uri="{FF2B5EF4-FFF2-40B4-BE49-F238E27FC236}">
              <a16:creationId xmlns="" xmlns:a16="http://schemas.microsoft.com/office/drawing/2014/main" id="{00000000-0008-0000-0000-000061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4" name="PORDB2">
          <a:extLst>
            <a:ext uri="{FF2B5EF4-FFF2-40B4-BE49-F238E27FC236}">
              <a16:creationId xmlns="" xmlns:a16="http://schemas.microsoft.com/office/drawing/2014/main" id="{00000000-0008-0000-0000-000062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5" name="PORDB2">
          <a:extLst>
            <a:ext uri="{FF2B5EF4-FFF2-40B4-BE49-F238E27FC236}">
              <a16:creationId xmlns="" xmlns:a16="http://schemas.microsoft.com/office/drawing/2014/main" id="{00000000-0008-0000-0000-000063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6" name="PORDB2">
          <a:extLst>
            <a:ext uri="{FF2B5EF4-FFF2-40B4-BE49-F238E27FC236}">
              <a16:creationId xmlns="" xmlns:a16="http://schemas.microsoft.com/office/drawing/2014/main" id="{00000000-0008-0000-0000-000064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7" name="PORDB2">
          <a:extLst>
            <a:ext uri="{FF2B5EF4-FFF2-40B4-BE49-F238E27FC236}">
              <a16:creationId xmlns="" xmlns:a16="http://schemas.microsoft.com/office/drawing/2014/main" id="{00000000-0008-0000-0000-000065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8" name="PORDB2">
          <a:extLst>
            <a:ext uri="{FF2B5EF4-FFF2-40B4-BE49-F238E27FC236}">
              <a16:creationId xmlns="" xmlns:a16="http://schemas.microsoft.com/office/drawing/2014/main" id="{00000000-0008-0000-0000-000066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59" name="PORDB2">
          <a:extLst>
            <a:ext uri="{FF2B5EF4-FFF2-40B4-BE49-F238E27FC236}">
              <a16:creationId xmlns="" xmlns:a16="http://schemas.microsoft.com/office/drawing/2014/main" id="{00000000-0008-0000-0000-000067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0" name="PORDB2">
          <a:extLst>
            <a:ext uri="{FF2B5EF4-FFF2-40B4-BE49-F238E27FC236}">
              <a16:creationId xmlns="" xmlns:a16="http://schemas.microsoft.com/office/drawing/2014/main" id="{00000000-0008-0000-0000-000068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1" name="PORDB2">
          <a:extLst>
            <a:ext uri="{FF2B5EF4-FFF2-40B4-BE49-F238E27FC236}">
              <a16:creationId xmlns="" xmlns:a16="http://schemas.microsoft.com/office/drawing/2014/main" id="{00000000-0008-0000-0000-000069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2" name="PORDB2">
          <a:extLst>
            <a:ext uri="{FF2B5EF4-FFF2-40B4-BE49-F238E27FC236}">
              <a16:creationId xmlns="" xmlns:a16="http://schemas.microsoft.com/office/drawing/2014/main" id="{00000000-0008-0000-0000-00006A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3" name="PORDB2">
          <a:extLst>
            <a:ext uri="{FF2B5EF4-FFF2-40B4-BE49-F238E27FC236}">
              <a16:creationId xmlns="" xmlns:a16="http://schemas.microsoft.com/office/drawing/2014/main" id="{00000000-0008-0000-0000-00006B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4" name="PORDB2">
          <a:extLst>
            <a:ext uri="{FF2B5EF4-FFF2-40B4-BE49-F238E27FC236}">
              <a16:creationId xmlns="" xmlns:a16="http://schemas.microsoft.com/office/drawing/2014/main" id="{00000000-0008-0000-0000-00006C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5" name="PORDB2">
          <a:extLst>
            <a:ext uri="{FF2B5EF4-FFF2-40B4-BE49-F238E27FC236}">
              <a16:creationId xmlns="" xmlns:a16="http://schemas.microsoft.com/office/drawing/2014/main" id="{00000000-0008-0000-0000-00006D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6" name="PORDB2">
          <a:extLst>
            <a:ext uri="{FF2B5EF4-FFF2-40B4-BE49-F238E27FC236}">
              <a16:creationId xmlns="" xmlns:a16="http://schemas.microsoft.com/office/drawing/2014/main" id="{00000000-0008-0000-0000-00006E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7" name="PORDB2">
          <a:extLst>
            <a:ext uri="{FF2B5EF4-FFF2-40B4-BE49-F238E27FC236}">
              <a16:creationId xmlns="" xmlns:a16="http://schemas.microsoft.com/office/drawing/2014/main" id="{00000000-0008-0000-0000-00006F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8" name="PORDB2">
          <a:extLst>
            <a:ext uri="{FF2B5EF4-FFF2-40B4-BE49-F238E27FC236}">
              <a16:creationId xmlns="" xmlns:a16="http://schemas.microsoft.com/office/drawing/2014/main" id="{00000000-0008-0000-0000-000070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69" name="PORDB2">
          <a:extLst>
            <a:ext uri="{FF2B5EF4-FFF2-40B4-BE49-F238E27FC236}">
              <a16:creationId xmlns="" xmlns:a16="http://schemas.microsoft.com/office/drawing/2014/main" id="{00000000-0008-0000-0000-000071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0" name="PORDB2">
          <a:extLst>
            <a:ext uri="{FF2B5EF4-FFF2-40B4-BE49-F238E27FC236}">
              <a16:creationId xmlns="" xmlns:a16="http://schemas.microsoft.com/office/drawing/2014/main" id="{00000000-0008-0000-0000-000072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1" name="PORDB2">
          <a:extLst>
            <a:ext uri="{FF2B5EF4-FFF2-40B4-BE49-F238E27FC236}">
              <a16:creationId xmlns="" xmlns:a16="http://schemas.microsoft.com/office/drawing/2014/main" id="{00000000-0008-0000-0000-000073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2" name="PORDB2">
          <a:extLst>
            <a:ext uri="{FF2B5EF4-FFF2-40B4-BE49-F238E27FC236}">
              <a16:creationId xmlns="" xmlns:a16="http://schemas.microsoft.com/office/drawing/2014/main" id="{00000000-0008-0000-0000-000074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3" name="PORDB2">
          <a:extLst>
            <a:ext uri="{FF2B5EF4-FFF2-40B4-BE49-F238E27FC236}">
              <a16:creationId xmlns="" xmlns:a16="http://schemas.microsoft.com/office/drawing/2014/main" id="{00000000-0008-0000-0000-000075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4" name="PORDB2">
          <a:extLst>
            <a:ext uri="{FF2B5EF4-FFF2-40B4-BE49-F238E27FC236}">
              <a16:creationId xmlns="" xmlns:a16="http://schemas.microsoft.com/office/drawing/2014/main" id="{00000000-0008-0000-0000-000076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5" name="PORDB2">
          <a:extLst>
            <a:ext uri="{FF2B5EF4-FFF2-40B4-BE49-F238E27FC236}">
              <a16:creationId xmlns="" xmlns:a16="http://schemas.microsoft.com/office/drawing/2014/main" id="{00000000-0008-0000-0000-000077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6" name="PORDB2">
          <a:extLst>
            <a:ext uri="{FF2B5EF4-FFF2-40B4-BE49-F238E27FC236}">
              <a16:creationId xmlns="" xmlns:a16="http://schemas.microsoft.com/office/drawing/2014/main" id="{00000000-0008-0000-0000-000078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7" name="PORDB2">
          <a:extLst>
            <a:ext uri="{FF2B5EF4-FFF2-40B4-BE49-F238E27FC236}">
              <a16:creationId xmlns="" xmlns:a16="http://schemas.microsoft.com/office/drawing/2014/main" id="{00000000-0008-0000-0000-000079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8" name="PORDB2">
          <a:extLst>
            <a:ext uri="{FF2B5EF4-FFF2-40B4-BE49-F238E27FC236}">
              <a16:creationId xmlns="" xmlns:a16="http://schemas.microsoft.com/office/drawing/2014/main" id="{00000000-0008-0000-0000-00007A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79" name="PORDB2">
          <a:extLst>
            <a:ext uri="{FF2B5EF4-FFF2-40B4-BE49-F238E27FC236}">
              <a16:creationId xmlns="" xmlns:a16="http://schemas.microsoft.com/office/drawing/2014/main" id="{00000000-0008-0000-0000-00007B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0" name="PORDB2">
          <a:extLst>
            <a:ext uri="{FF2B5EF4-FFF2-40B4-BE49-F238E27FC236}">
              <a16:creationId xmlns="" xmlns:a16="http://schemas.microsoft.com/office/drawing/2014/main" id="{00000000-0008-0000-0000-00007C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1" name="PORDB2">
          <a:extLst>
            <a:ext uri="{FF2B5EF4-FFF2-40B4-BE49-F238E27FC236}">
              <a16:creationId xmlns="" xmlns:a16="http://schemas.microsoft.com/office/drawing/2014/main" id="{00000000-0008-0000-0000-00007D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2" name="PORDB2">
          <a:extLst>
            <a:ext uri="{FF2B5EF4-FFF2-40B4-BE49-F238E27FC236}">
              <a16:creationId xmlns="" xmlns:a16="http://schemas.microsoft.com/office/drawing/2014/main" id="{00000000-0008-0000-0000-00007E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3" name="PORDB2">
          <a:extLst>
            <a:ext uri="{FF2B5EF4-FFF2-40B4-BE49-F238E27FC236}">
              <a16:creationId xmlns="" xmlns:a16="http://schemas.microsoft.com/office/drawing/2014/main" id="{00000000-0008-0000-0000-00007F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4" name="PORDB2">
          <a:extLst>
            <a:ext uri="{FF2B5EF4-FFF2-40B4-BE49-F238E27FC236}">
              <a16:creationId xmlns="" xmlns:a16="http://schemas.microsoft.com/office/drawing/2014/main" id="{00000000-0008-0000-0000-000080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5" name="PORDB2">
          <a:extLst>
            <a:ext uri="{FF2B5EF4-FFF2-40B4-BE49-F238E27FC236}">
              <a16:creationId xmlns="" xmlns:a16="http://schemas.microsoft.com/office/drawing/2014/main" id="{00000000-0008-0000-0000-000081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6" name="PORDB2">
          <a:extLst>
            <a:ext uri="{FF2B5EF4-FFF2-40B4-BE49-F238E27FC236}">
              <a16:creationId xmlns="" xmlns:a16="http://schemas.microsoft.com/office/drawing/2014/main" id="{00000000-0008-0000-0000-000082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7" name="PORDB2">
          <a:extLst>
            <a:ext uri="{FF2B5EF4-FFF2-40B4-BE49-F238E27FC236}">
              <a16:creationId xmlns="" xmlns:a16="http://schemas.microsoft.com/office/drawing/2014/main" id="{00000000-0008-0000-0000-000083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8" name="PORDB2">
          <a:extLst>
            <a:ext uri="{FF2B5EF4-FFF2-40B4-BE49-F238E27FC236}">
              <a16:creationId xmlns="" xmlns:a16="http://schemas.microsoft.com/office/drawing/2014/main" id="{00000000-0008-0000-0000-000084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89" name="PORDB2">
          <a:extLst>
            <a:ext uri="{FF2B5EF4-FFF2-40B4-BE49-F238E27FC236}">
              <a16:creationId xmlns="" xmlns:a16="http://schemas.microsoft.com/office/drawing/2014/main" id="{00000000-0008-0000-0000-000085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0" name="PORDB2">
          <a:extLst>
            <a:ext uri="{FF2B5EF4-FFF2-40B4-BE49-F238E27FC236}">
              <a16:creationId xmlns="" xmlns:a16="http://schemas.microsoft.com/office/drawing/2014/main" id="{00000000-0008-0000-0000-000086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1" name="PORDB2">
          <a:extLst>
            <a:ext uri="{FF2B5EF4-FFF2-40B4-BE49-F238E27FC236}">
              <a16:creationId xmlns="" xmlns:a16="http://schemas.microsoft.com/office/drawing/2014/main" id="{00000000-0008-0000-0000-000087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2" name="PORDB2">
          <a:extLst>
            <a:ext uri="{FF2B5EF4-FFF2-40B4-BE49-F238E27FC236}">
              <a16:creationId xmlns="" xmlns:a16="http://schemas.microsoft.com/office/drawing/2014/main" id="{00000000-0008-0000-0000-000088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3" name="PORDB2">
          <a:extLst>
            <a:ext uri="{FF2B5EF4-FFF2-40B4-BE49-F238E27FC236}">
              <a16:creationId xmlns="" xmlns:a16="http://schemas.microsoft.com/office/drawing/2014/main" id="{00000000-0008-0000-0000-000089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4" name="PORDB2">
          <a:extLst>
            <a:ext uri="{FF2B5EF4-FFF2-40B4-BE49-F238E27FC236}">
              <a16:creationId xmlns="" xmlns:a16="http://schemas.microsoft.com/office/drawing/2014/main" id="{00000000-0008-0000-0000-00008A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5" name="PORDB2">
          <a:extLst>
            <a:ext uri="{FF2B5EF4-FFF2-40B4-BE49-F238E27FC236}">
              <a16:creationId xmlns="" xmlns:a16="http://schemas.microsoft.com/office/drawing/2014/main" id="{00000000-0008-0000-0000-00008B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6" name="PORDB2">
          <a:extLst>
            <a:ext uri="{FF2B5EF4-FFF2-40B4-BE49-F238E27FC236}">
              <a16:creationId xmlns="" xmlns:a16="http://schemas.microsoft.com/office/drawing/2014/main" id="{00000000-0008-0000-0000-00008C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7" name="PORDB2">
          <a:extLst>
            <a:ext uri="{FF2B5EF4-FFF2-40B4-BE49-F238E27FC236}">
              <a16:creationId xmlns="" xmlns:a16="http://schemas.microsoft.com/office/drawing/2014/main" id="{00000000-0008-0000-0000-00008D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8" name="PORDB2">
          <a:extLst>
            <a:ext uri="{FF2B5EF4-FFF2-40B4-BE49-F238E27FC236}">
              <a16:creationId xmlns="" xmlns:a16="http://schemas.microsoft.com/office/drawing/2014/main" id="{00000000-0008-0000-0000-00008E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399" name="PORDB2">
          <a:extLst>
            <a:ext uri="{FF2B5EF4-FFF2-40B4-BE49-F238E27FC236}">
              <a16:creationId xmlns="" xmlns:a16="http://schemas.microsoft.com/office/drawing/2014/main" id="{00000000-0008-0000-0000-00008F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0" name="PORDB2">
          <a:extLst>
            <a:ext uri="{FF2B5EF4-FFF2-40B4-BE49-F238E27FC236}">
              <a16:creationId xmlns="" xmlns:a16="http://schemas.microsoft.com/office/drawing/2014/main" id="{00000000-0008-0000-0000-000090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1" name="PORDB2">
          <a:extLst>
            <a:ext uri="{FF2B5EF4-FFF2-40B4-BE49-F238E27FC236}">
              <a16:creationId xmlns="" xmlns:a16="http://schemas.microsoft.com/office/drawing/2014/main" id="{00000000-0008-0000-0000-000091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2" name="PORDB2">
          <a:extLst>
            <a:ext uri="{FF2B5EF4-FFF2-40B4-BE49-F238E27FC236}">
              <a16:creationId xmlns="" xmlns:a16="http://schemas.microsoft.com/office/drawing/2014/main" id="{00000000-0008-0000-0000-000092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3" name="PORDB2">
          <a:extLst>
            <a:ext uri="{FF2B5EF4-FFF2-40B4-BE49-F238E27FC236}">
              <a16:creationId xmlns="" xmlns:a16="http://schemas.microsoft.com/office/drawing/2014/main" id="{00000000-0008-0000-0000-000093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4" name="PORDB2">
          <a:extLst>
            <a:ext uri="{FF2B5EF4-FFF2-40B4-BE49-F238E27FC236}">
              <a16:creationId xmlns="" xmlns:a16="http://schemas.microsoft.com/office/drawing/2014/main" id="{00000000-0008-0000-0000-000094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5" name="PORDB2">
          <a:extLst>
            <a:ext uri="{FF2B5EF4-FFF2-40B4-BE49-F238E27FC236}">
              <a16:creationId xmlns="" xmlns:a16="http://schemas.microsoft.com/office/drawing/2014/main" id="{00000000-0008-0000-0000-000095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6" name="PORDB2">
          <a:extLst>
            <a:ext uri="{FF2B5EF4-FFF2-40B4-BE49-F238E27FC236}">
              <a16:creationId xmlns="" xmlns:a16="http://schemas.microsoft.com/office/drawing/2014/main" id="{00000000-0008-0000-0000-000096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7" name="PORDB2">
          <a:extLst>
            <a:ext uri="{FF2B5EF4-FFF2-40B4-BE49-F238E27FC236}">
              <a16:creationId xmlns="" xmlns:a16="http://schemas.microsoft.com/office/drawing/2014/main" id="{00000000-0008-0000-0000-000097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8" name="PORDB2">
          <a:extLst>
            <a:ext uri="{FF2B5EF4-FFF2-40B4-BE49-F238E27FC236}">
              <a16:creationId xmlns="" xmlns:a16="http://schemas.microsoft.com/office/drawing/2014/main" id="{00000000-0008-0000-0000-000098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09" name="PORDB2">
          <a:extLst>
            <a:ext uri="{FF2B5EF4-FFF2-40B4-BE49-F238E27FC236}">
              <a16:creationId xmlns="" xmlns:a16="http://schemas.microsoft.com/office/drawing/2014/main" id="{00000000-0008-0000-0000-000099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0" name="PORDB2">
          <a:extLst>
            <a:ext uri="{FF2B5EF4-FFF2-40B4-BE49-F238E27FC236}">
              <a16:creationId xmlns="" xmlns:a16="http://schemas.microsoft.com/office/drawing/2014/main" id="{00000000-0008-0000-0000-00009A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1" name="PORDB2">
          <a:extLst>
            <a:ext uri="{FF2B5EF4-FFF2-40B4-BE49-F238E27FC236}">
              <a16:creationId xmlns="" xmlns:a16="http://schemas.microsoft.com/office/drawing/2014/main" id="{00000000-0008-0000-0000-00009B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2" name="PORDB2">
          <a:extLst>
            <a:ext uri="{FF2B5EF4-FFF2-40B4-BE49-F238E27FC236}">
              <a16:creationId xmlns="" xmlns:a16="http://schemas.microsoft.com/office/drawing/2014/main" id="{00000000-0008-0000-0000-00009C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3" name="PORDB2">
          <a:extLst>
            <a:ext uri="{FF2B5EF4-FFF2-40B4-BE49-F238E27FC236}">
              <a16:creationId xmlns="" xmlns:a16="http://schemas.microsoft.com/office/drawing/2014/main" id="{00000000-0008-0000-0000-00009D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4" name="PORDB2">
          <a:extLst>
            <a:ext uri="{FF2B5EF4-FFF2-40B4-BE49-F238E27FC236}">
              <a16:creationId xmlns="" xmlns:a16="http://schemas.microsoft.com/office/drawing/2014/main" id="{00000000-0008-0000-0000-00009E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5" name="PORDB2">
          <a:extLst>
            <a:ext uri="{FF2B5EF4-FFF2-40B4-BE49-F238E27FC236}">
              <a16:creationId xmlns="" xmlns:a16="http://schemas.microsoft.com/office/drawing/2014/main" id="{00000000-0008-0000-0000-00009F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6" name="PORDB2">
          <a:extLst>
            <a:ext uri="{FF2B5EF4-FFF2-40B4-BE49-F238E27FC236}">
              <a16:creationId xmlns="" xmlns:a16="http://schemas.microsoft.com/office/drawing/2014/main" id="{00000000-0008-0000-0000-0000A0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7" name="PORDB2">
          <a:extLst>
            <a:ext uri="{FF2B5EF4-FFF2-40B4-BE49-F238E27FC236}">
              <a16:creationId xmlns="" xmlns:a16="http://schemas.microsoft.com/office/drawing/2014/main" id="{00000000-0008-0000-0000-0000A1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8" name="PORDB2">
          <a:extLst>
            <a:ext uri="{FF2B5EF4-FFF2-40B4-BE49-F238E27FC236}">
              <a16:creationId xmlns="" xmlns:a16="http://schemas.microsoft.com/office/drawing/2014/main" id="{00000000-0008-0000-0000-0000A2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19" name="PORDB2">
          <a:extLst>
            <a:ext uri="{FF2B5EF4-FFF2-40B4-BE49-F238E27FC236}">
              <a16:creationId xmlns="" xmlns:a16="http://schemas.microsoft.com/office/drawing/2014/main" id="{00000000-0008-0000-0000-0000A3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0" name="PORDB2">
          <a:extLst>
            <a:ext uri="{FF2B5EF4-FFF2-40B4-BE49-F238E27FC236}">
              <a16:creationId xmlns="" xmlns:a16="http://schemas.microsoft.com/office/drawing/2014/main" id="{00000000-0008-0000-0000-0000A4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1" name="PORDB2">
          <a:extLst>
            <a:ext uri="{FF2B5EF4-FFF2-40B4-BE49-F238E27FC236}">
              <a16:creationId xmlns="" xmlns:a16="http://schemas.microsoft.com/office/drawing/2014/main" id="{00000000-0008-0000-0000-0000A5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2" name="PORDB2">
          <a:extLst>
            <a:ext uri="{FF2B5EF4-FFF2-40B4-BE49-F238E27FC236}">
              <a16:creationId xmlns="" xmlns:a16="http://schemas.microsoft.com/office/drawing/2014/main" id="{00000000-0008-0000-0000-0000A6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3" name="PORDB2">
          <a:extLst>
            <a:ext uri="{FF2B5EF4-FFF2-40B4-BE49-F238E27FC236}">
              <a16:creationId xmlns="" xmlns:a16="http://schemas.microsoft.com/office/drawing/2014/main" id="{00000000-0008-0000-0000-0000A7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4" name="PORDB2">
          <a:extLst>
            <a:ext uri="{FF2B5EF4-FFF2-40B4-BE49-F238E27FC236}">
              <a16:creationId xmlns="" xmlns:a16="http://schemas.microsoft.com/office/drawing/2014/main" id="{00000000-0008-0000-0000-0000A8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5" name="PORDB2">
          <a:extLst>
            <a:ext uri="{FF2B5EF4-FFF2-40B4-BE49-F238E27FC236}">
              <a16:creationId xmlns="" xmlns:a16="http://schemas.microsoft.com/office/drawing/2014/main" id="{00000000-0008-0000-0000-0000A9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6" name="PORDB2">
          <a:extLst>
            <a:ext uri="{FF2B5EF4-FFF2-40B4-BE49-F238E27FC236}">
              <a16:creationId xmlns="" xmlns:a16="http://schemas.microsoft.com/office/drawing/2014/main" id="{00000000-0008-0000-0000-0000AA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7" name="PORDB2">
          <a:extLst>
            <a:ext uri="{FF2B5EF4-FFF2-40B4-BE49-F238E27FC236}">
              <a16:creationId xmlns="" xmlns:a16="http://schemas.microsoft.com/office/drawing/2014/main" id="{00000000-0008-0000-0000-0000AB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8" name="PORDB2">
          <a:extLst>
            <a:ext uri="{FF2B5EF4-FFF2-40B4-BE49-F238E27FC236}">
              <a16:creationId xmlns="" xmlns:a16="http://schemas.microsoft.com/office/drawing/2014/main" id="{00000000-0008-0000-0000-0000AC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29" name="PORDB2">
          <a:extLst>
            <a:ext uri="{FF2B5EF4-FFF2-40B4-BE49-F238E27FC236}">
              <a16:creationId xmlns="" xmlns:a16="http://schemas.microsoft.com/office/drawing/2014/main" id="{00000000-0008-0000-0000-0000AD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0" name="PORDB2">
          <a:extLst>
            <a:ext uri="{FF2B5EF4-FFF2-40B4-BE49-F238E27FC236}">
              <a16:creationId xmlns="" xmlns:a16="http://schemas.microsoft.com/office/drawing/2014/main" id="{00000000-0008-0000-0000-0000AE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1" name="PORDB2">
          <a:extLst>
            <a:ext uri="{FF2B5EF4-FFF2-40B4-BE49-F238E27FC236}">
              <a16:creationId xmlns="" xmlns:a16="http://schemas.microsoft.com/office/drawing/2014/main" id="{00000000-0008-0000-0000-0000AF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2" name="PORDB2">
          <a:extLst>
            <a:ext uri="{FF2B5EF4-FFF2-40B4-BE49-F238E27FC236}">
              <a16:creationId xmlns="" xmlns:a16="http://schemas.microsoft.com/office/drawing/2014/main" id="{00000000-0008-0000-0000-0000B0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3" name="PORDB2">
          <a:extLst>
            <a:ext uri="{FF2B5EF4-FFF2-40B4-BE49-F238E27FC236}">
              <a16:creationId xmlns="" xmlns:a16="http://schemas.microsoft.com/office/drawing/2014/main" id="{00000000-0008-0000-0000-0000B1010000}"/>
            </a:ext>
          </a:extLst>
        </xdr:cNvPr>
        <xdr:cNvSpPr>
          <a:spLocks noChangeArrowheads="1"/>
        </xdr:cNvSpPr>
      </xdr:nvSpPr>
      <xdr:spPr bwMode="auto">
        <a:xfrm>
          <a:off x="4867275" y="1676400"/>
          <a:ext cx="4229100" cy="800100"/>
        </a:xfrm>
        <a:prstGeom prst="roundRect">
          <a:avLst>
            <a:gd name="adj" fmla="val 1264"/>
          </a:avLst>
        </a:prstGeom>
        <a:noFill/>
        <a:ln w="9525">
          <a:solidFill>
            <a:srgbClr val="000000"/>
          </a:solidFill>
          <a:round/>
          <a:headEnd/>
          <a:tailEnd/>
        </a:ln>
      </xdr:spPr>
    </xdr:sp>
    <xdr:clientData/>
  </xdr:twoCellAnchor>
  <xdr:twoCellAnchor editAs="oneCell">
    <xdr:from>
      <xdr:col>5</xdr:col>
      <xdr:colOff>404191</xdr:colOff>
      <xdr:row>2</xdr:row>
      <xdr:rowOff>156310</xdr:rowOff>
    </xdr:from>
    <xdr:to>
      <xdr:col>10</xdr:col>
      <xdr:colOff>137491</xdr:colOff>
      <xdr:row>5</xdr:row>
      <xdr:rowOff>99392</xdr:rowOff>
    </xdr:to>
    <xdr:pic>
      <xdr:nvPicPr>
        <xdr:cNvPr id="3" name="Imagem 2">
          <a:extLst>
            <a:ext uri="{FF2B5EF4-FFF2-40B4-BE49-F238E27FC236}">
              <a16:creationId xmlns=""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8800" b="16223"/>
        <a:stretch>
          <a:fillRect/>
        </a:stretch>
      </xdr:blipFill>
      <xdr:spPr>
        <a:xfrm>
          <a:off x="2690191" y="196067"/>
          <a:ext cx="2436743" cy="698455"/>
        </a:xfrm>
        <a:prstGeom prst="rect">
          <a:avLst/>
        </a:prstGeom>
      </xdr:spPr>
    </xdr:pic>
    <xdr:clientData/>
  </xdr:twoCellAnchor>
  <xdr:twoCellAnchor>
    <xdr:from>
      <xdr:col>4</xdr:col>
      <xdr:colOff>542925</xdr:colOff>
      <xdr:row>71</xdr:row>
      <xdr:rowOff>28575</xdr:rowOff>
    </xdr:from>
    <xdr:to>
      <xdr:col>7</xdr:col>
      <xdr:colOff>495300</xdr:colOff>
      <xdr:row>71</xdr:row>
      <xdr:rowOff>28575</xdr:rowOff>
    </xdr:to>
    <xdr:sp macro="" textlink="">
      <xdr:nvSpPr>
        <xdr:cNvPr id="2" name="Line 19">
          <a:extLst>
            <a:ext uri="{FF2B5EF4-FFF2-40B4-BE49-F238E27FC236}">
              <a16:creationId xmlns="" xmlns:a16="http://schemas.microsoft.com/office/drawing/2014/main" id="{00000000-0008-0000-0000-000002000000}"/>
            </a:ext>
          </a:extLst>
        </xdr:cNvPr>
        <xdr:cNvSpPr>
          <a:spLocks noChangeShapeType="1"/>
        </xdr:cNvSpPr>
      </xdr:nvSpPr>
      <xdr:spPr bwMode="auto">
        <a:xfrm flipV="1">
          <a:off x="2828925" y="15427601"/>
          <a:ext cx="1741418" cy="0"/>
        </a:xfrm>
        <a:prstGeom prst="line">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4" name="PORDB2">
          <a:extLst>
            <a:ext uri="{FF2B5EF4-FFF2-40B4-BE49-F238E27FC236}">
              <a16:creationId xmlns="" xmlns:a16="http://schemas.microsoft.com/office/drawing/2014/main" id="{826319B3-6597-4F35-B21B-0ED06DEB424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5" name="PORDB2">
          <a:extLst>
            <a:ext uri="{FF2B5EF4-FFF2-40B4-BE49-F238E27FC236}">
              <a16:creationId xmlns="" xmlns:a16="http://schemas.microsoft.com/office/drawing/2014/main" id="{7A2F10CF-D1A2-465D-8EBA-272EC512735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6" name="PORDB2">
          <a:extLst>
            <a:ext uri="{FF2B5EF4-FFF2-40B4-BE49-F238E27FC236}">
              <a16:creationId xmlns="" xmlns:a16="http://schemas.microsoft.com/office/drawing/2014/main" id="{66717608-CC9E-4F5E-ABFD-3CCC432FDAA0}"/>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7" name="PORDB2">
          <a:extLst>
            <a:ext uri="{FF2B5EF4-FFF2-40B4-BE49-F238E27FC236}">
              <a16:creationId xmlns="" xmlns:a16="http://schemas.microsoft.com/office/drawing/2014/main" id="{67DB7A83-CB21-4AE4-AA3C-DE93D596FEB4}"/>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8" name="PORDB2">
          <a:extLst>
            <a:ext uri="{FF2B5EF4-FFF2-40B4-BE49-F238E27FC236}">
              <a16:creationId xmlns="" xmlns:a16="http://schemas.microsoft.com/office/drawing/2014/main" id="{9B1A11B6-CA95-41E3-A778-E7E054816630}"/>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39" name="PORDB2">
          <a:extLst>
            <a:ext uri="{FF2B5EF4-FFF2-40B4-BE49-F238E27FC236}">
              <a16:creationId xmlns="" xmlns:a16="http://schemas.microsoft.com/office/drawing/2014/main" id="{F9E39719-8EF2-4165-BD2C-051A58841A85}"/>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0" name="PORDB2">
          <a:extLst>
            <a:ext uri="{FF2B5EF4-FFF2-40B4-BE49-F238E27FC236}">
              <a16:creationId xmlns="" xmlns:a16="http://schemas.microsoft.com/office/drawing/2014/main" id="{231FA6B2-2830-4B11-B35A-CACE8C0B6240}"/>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1" name="PORDB2">
          <a:extLst>
            <a:ext uri="{FF2B5EF4-FFF2-40B4-BE49-F238E27FC236}">
              <a16:creationId xmlns="" xmlns:a16="http://schemas.microsoft.com/office/drawing/2014/main" id="{3AF9E081-1259-4D74-8128-9A90B627C10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2" name="PORDB2">
          <a:extLst>
            <a:ext uri="{FF2B5EF4-FFF2-40B4-BE49-F238E27FC236}">
              <a16:creationId xmlns="" xmlns:a16="http://schemas.microsoft.com/office/drawing/2014/main" id="{C46AC570-EFC7-48DE-A0E1-E61597DF415A}"/>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3" name="PORDB2">
          <a:extLst>
            <a:ext uri="{FF2B5EF4-FFF2-40B4-BE49-F238E27FC236}">
              <a16:creationId xmlns="" xmlns:a16="http://schemas.microsoft.com/office/drawing/2014/main" id="{ABCE251B-52D6-4326-BCB8-3B8891D2C1C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4" name="PORDB2">
          <a:extLst>
            <a:ext uri="{FF2B5EF4-FFF2-40B4-BE49-F238E27FC236}">
              <a16:creationId xmlns="" xmlns:a16="http://schemas.microsoft.com/office/drawing/2014/main" id="{6F291D0C-3D99-4E92-B027-F89DBC547E5C}"/>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5" name="PORDB2">
          <a:extLst>
            <a:ext uri="{FF2B5EF4-FFF2-40B4-BE49-F238E27FC236}">
              <a16:creationId xmlns="" xmlns:a16="http://schemas.microsoft.com/office/drawing/2014/main" id="{E5D6C4EA-F09F-4582-AEDD-73788DB7950D}"/>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6" name="PORDB2">
          <a:extLst>
            <a:ext uri="{FF2B5EF4-FFF2-40B4-BE49-F238E27FC236}">
              <a16:creationId xmlns="" xmlns:a16="http://schemas.microsoft.com/office/drawing/2014/main" id="{ADA31C12-6212-4C47-8DEC-05FF3EE31E54}"/>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7" name="PORDB2">
          <a:extLst>
            <a:ext uri="{FF2B5EF4-FFF2-40B4-BE49-F238E27FC236}">
              <a16:creationId xmlns="" xmlns:a16="http://schemas.microsoft.com/office/drawing/2014/main" id="{9C70642E-F09D-475D-823D-1A3E9C00C22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8" name="PORDB2">
          <a:extLst>
            <a:ext uri="{FF2B5EF4-FFF2-40B4-BE49-F238E27FC236}">
              <a16:creationId xmlns="" xmlns:a16="http://schemas.microsoft.com/office/drawing/2014/main" id="{63955683-CAF5-40D9-95E6-C7999D404753}"/>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49" name="PORDB2">
          <a:extLst>
            <a:ext uri="{FF2B5EF4-FFF2-40B4-BE49-F238E27FC236}">
              <a16:creationId xmlns="" xmlns:a16="http://schemas.microsoft.com/office/drawing/2014/main" id="{485781FC-9934-4B48-ACB1-76A0EFE4095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0" name="PORDB2">
          <a:extLst>
            <a:ext uri="{FF2B5EF4-FFF2-40B4-BE49-F238E27FC236}">
              <a16:creationId xmlns="" xmlns:a16="http://schemas.microsoft.com/office/drawing/2014/main" id="{CF705CF4-224B-4284-9624-0E551BDBF73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1" name="PORDB2">
          <a:extLst>
            <a:ext uri="{FF2B5EF4-FFF2-40B4-BE49-F238E27FC236}">
              <a16:creationId xmlns="" xmlns:a16="http://schemas.microsoft.com/office/drawing/2014/main" id="{2650F3D9-82BD-4836-9CF3-5242159F36A7}"/>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2" name="PORDB2">
          <a:extLst>
            <a:ext uri="{FF2B5EF4-FFF2-40B4-BE49-F238E27FC236}">
              <a16:creationId xmlns="" xmlns:a16="http://schemas.microsoft.com/office/drawing/2014/main" id="{FE749E84-14C0-406E-9008-3B0F1635A773}"/>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3" name="PORDB2">
          <a:extLst>
            <a:ext uri="{FF2B5EF4-FFF2-40B4-BE49-F238E27FC236}">
              <a16:creationId xmlns="" xmlns:a16="http://schemas.microsoft.com/office/drawing/2014/main" id="{7900AF71-D92A-4189-B859-B44FA012A37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4" name="PORDB2">
          <a:extLst>
            <a:ext uri="{FF2B5EF4-FFF2-40B4-BE49-F238E27FC236}">
              <a16:creationId xmlns="" xmlns:a16="http://schemas.microsoft.com/office/drawing/2014/main" id="{8FEA752A-30FC-40E4-8971-A5D77904D7F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5" name="PORDB2">
          <a:extLst>
            <a:ext uri="{FF2B5EF4-FFF2-40B4-BE49-F238E27FC236}">
              <a16:creationId xmlns="" xmlns:a16="http://schemas.microsoft.com/office/drawing/2014/main" id="{99CFE8B0-4135-4CD3-AC87-8B0CA122B1AF}"/>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6" name="PORDB2">
          <a:extLst>
            <a:ext uri="{FF2B5EF4-FFF2-40B4-BE49-F238E27FC236}">
              <a16:creationId xmlns="" xmlns:a16="http://schemas.microsoft.com/office/drawing/2014/main" id="{18E49808-5744-418D-A140-10F2D8F4DE2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7" name="PORDB2">
          <a:extLst>
            <a:ext uri="{FF2B5EF4-FFF2-40B4-BE49-F238E27FC236}">
              <a16:creationId xmlns="" xmlns:a16="http://schemas.microsoft.com/office/drawing/2014/main" id="{B6F6E4EF-843B-4EFA-A371-F0218E7F695D}"/>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8" name="PORDB2">
          <a:extLst>
            <a:ext uri="{FF2B5EF4-FFF2-40B4-BE49-F238E27FC236}">
              <a16:creationId xmlns="" xmlns:a16="http://schemas.microsoft.com/office/drawing/2014/main" id="{7CD7F2F3-B878-466D-ABD0-B8CB18A6C9B8}"/>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59" name="PORDB2">
          <a:extLst>
            <a:ext uri="{FF2B5EF4-FFF2-40B4-BE49-F238E27FC236}">
              <a16:creationId xmlns="" xmlns:a16="http://schemas.microsoft.com/office/drawing/2014/main" id="{0573F07A-087F-4247-9F60-6E186701DAEA}"/>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0" name="PORDB2">
          <a:extLst>
            <a:ext uri="{FF2B5EF4-FFF2-40B4-BE49-F238E27FC236}">
              <a16:creationId xmlns="" xmlns:a16="http://schemas.microsoft.com/office/drawing/2014/main" id="{7B5E84F6-8807-4473-A83B-DB209366EDC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1" name="PORDB2">
          <a:extLst>
            <a:ext uri="{FF2B5EF4-FFF2-40B4-BE49-F238E27FC236}">
              <a16:creationId xmlns="" xmlns:a16="http://schemas.microsoft.com/office/drawing/2014/main" id="{E179D917-2994-4B17-9C48-FD815B97AF28}"/>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2" name="PORDB2">
          <a:extLst>
            <a:ext uri="{FF2B5EF4-FFF2-40B4-BE49-F238E27FC236}">
              <a16:creationId xmlns="" xmlns:a16="http://schemas.microsoft.com/office/drawing/2014/main" id="{5B034721-4DD4-4AA4-A8C6-7F9B207C9F00}"/>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3" name="PORDB2">
          <a:extLst>
            <a:ext uri="{FF2B5EF4-FFF2-40B4-BE49-F238E27FC236}">
              <a16:creationId xmlns="" xmlns:a16="http://schemas.microsoft.com/office/drawing/2014/main" id="{3A0CC80C-8827-439E-869F-2B916CC5FF7F}"/>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4" name="PORDB2">
          <a:extLst>
            <a:ext uri="{FF2B5EF4-FFF2-40B4-BE49-F238E27FC236}">
              <a16:creationId xmlns="" xmlns:a16="http://schemas.microsoft.com/office/drawing/2014/main" id="{0D3DA966-B3D7-4C2D-8556-F4D042834ED3}"/>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5" name="PORDB2">
          <a:extLst>
            <a:ext uri="{FF2B5EF4-FFF2-40B4-BE49-F238E27FC236}">
              <a16:creationId xmlns="" xmlns:a16="http://schemas.microsoft.com/office/drawing/2014/main" id="{F4D0F2EB-BB4D-4EF8-B1F4-F24B29EDB1B5}"/>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6" name="PORDB2">
          <a:extLst>
            <a:ext uri="{FF2B5EF4-FFF2-40B4-BE49-F238E27FC236}">
              <a16:creationId xmlns="" xmlns:a16="http://schemas.microsoft.com/office/drawing/2014/main" id="{DD861F79-AC20-4230-A1ED-6474EF88E66F}"/>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7" name="PORDB2">
          <a:extLst>
            <a:ext uri="{FF2B5EF4-FFF2-40B4-BE49-F238E27FC236}">
              <a16:creationId xmlns="" xmlns:a16="http://schemas.microsoft.com/office/drawing/2014/main" id="{C081E85A-6CC7-41F2-B6AC-9824C2CB097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8" name="PORDB2">
          <a:extLst>
            <a:ext uri="{FF2B5EF4-FFF2-40B4-BE49-F238E27FC236}">
              <a16:creationId xmlns="" xmlns:a16="http://schemas.microsoft.com/office/drawing/2014/main" id="{76CDF34B-A457-4D6C-9455-3C41C08452D9}"/>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69" name="PORDB2">
          <a:extLst>
            <a:ext uri="{FF2B5EF4-FFF2-40B4-BE49-F238E27FC236}">
              <a16:creationId xmlns="" xmlns:a16="http://schemas.microsoft.com/office/drawing/2014/main" id="{66EAD92E-8E00-46B1-BAF3-61988FD829BA}"/>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0" name="PORDB2">
          <a:extLst>
            <a:ext uri="{FF2B5EF4-FFF2-40B4-BE49-F238E27FC236}">
              <a16:creationId xmlns="" xmlns:a16="http://schemas.microsoft.com/office/drawing/2014/main" id="{F4159414-19DF-4298-8033-A808D11BEF9E}"/>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1" name="PORDB2">
          <a:extLst>
            <a:ext uri="{FF2B5EF4-FFF2-40B4-BE49-F238E27FC236}">
              <a16:creationId xmlns="" xmlns:a16="http://schemas.microsoft.com/office/drawing/2014/main" id="{A95E81C0-73ED-460C-8F31-8F87D0882C1A}"/>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2" name="PORDB2">
          <a:extLst>
            <a:ext uri="{FF2B5EF4-FFF2-40B4-BE49-F238E27FC236}">
              <a16:creationId xmlns="" xmlns:a16="http://schemas.microsoft.com/office/drawing/2014/main" id="{4D2112B9-4823-41B7-8DF9-9BF3A5372C03}"/>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3" name="PORDB2">
          <a:extLst>
            <a:ext uri="{FF2B5EF4-FFF2-40B4-BE49-F238E27FC236}">
              <a16:creationId xmlns="" xmlns:a16="http://schemas.microsoft.com/office/drawing/2014/main" id="{BE4F4BB5-C870-4019-9C86-064B0D25D0B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4" name="PORDB2">
          <a:extLst>
            <a:ext uri="{FF2B5EF4-FFF2-40B4-BE49-F238E27FC236}">
              <a16:creationId xmlns="" xmlns:a16="http://schemas.microsoft.com/office/drawing/2014/main" id="{33D42E99-19F2-4F11-8D34-6897A62E57C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5" name="PORDB2">
          <a:extLst>
            <a:ext uri="{FF2B5EF4-FFF2-40B4-BE49-F238E27FC236}">
              <a16:creationId xmlns="" xmlns:a16="http://schemas.microsoft.com/office/drawing/2014/main" id="{33F7819B-EC93-411D-BA97-33D92B74553B}"/>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6" name="PORDB2">
          <a:extLst>
            <a:ext uri="{FF2B5EF4-FFF2-40B4-BE49-F238E27FC236}">
              <a16:creationId xmlns="" xmlns:a16="http://schemas.microsoft.com/office/drawing/2014/main" id="{D4EB197C-C749-4070-9C1F-A6F7664D764A}"/>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7" name="PORDB2">
          <a:extLst>
            <a:ext uri="{FF2B5EF4-FFF2-40B4-BE49-F238E27FC236}">
              <a16:creationId xmlns="" xmlns:a16="http://schemas.microsoft.com/office/drawing/2014/main" id="{8E0D8E59-556A-44D5-8C65-C18951787FE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8" name="PORDB2">
          <a:extLst>
            <a:ext uri="{FF2B5EF4-FFF2-40B4-BE49-F238E27FC236}">
              <a16:creationId xmlns="" xmlns:a16="http://schemas.microsoft.com/office/drawing/2014/main" id="{8532A3C4-66CF-4575-965B-9C8F6901A5F4}"/>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79" name="PORDB2">
          <a:extLst>
            <a:ext uri="{FF2B5EF4-FFF2-40B4-BE49-F238E27FC236}">
              <a16:creationId xmlns="" xmlns:a16="http://schemas.microsoft.com/office/drawing/2014/main" id="{0914EBDC-4CB1-48C0-849B-D0D24B39C5FA}"/>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0" name="PORDB2">
          <a:extLst>
            <a:ext uri="{FF2B5EF4-FFF2-40B4-BE49-F238E27FC236}">
              <a16:creationId xmlns="" xmlns:a16="http://schemas.microsoft.com/office/drawing/2014/main" id="{F82CBA06-5642-43C6-A87B-7B4D2621A373}"/>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1" name="PORDB2">
          <a:extLst>
            <a:ext uri="{FF2B5EF4-FFF2-40B4-BE49-F238E27FC236}">
              <a16:creationId xmlns="" xmlns:a16="http://schemas.microsoft.com/office/drawing/2014/main" id="{8D8E97ED-7FE7-4F38-AE7D-ABE7EEF283DA}"/>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2" name="PORDB2">
          <a:extLst>
            <a:ext uri="{FF2B5EF4-FFF2-40B4-BE49-F238E27FC236}">
              <a16:creationId xmlns="" xmlns:a16="http://schemas.microsoft.com/office/drawing/2014/main" id="{999BC963-A9D4-4A72-A6E6-5037BB2F259C}"/>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3" name="PORDB2">
          <a:extLst>
            <a:ext uri="{FF2B5EF4-FFF2-40B4-BE49-F238E27FC236}">
              <a16:creationId xmlns="" xmlns:a16="http://schemas.microsoft.com/office/drawing/2014/main" id="{8E57D8F3-0578-4313-A1C9-6CCCF88F6BB5}"/>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4" name="PORDB2">
          <a:extLst>
            <a:ext uri="{FF2B5EF4-FFF2-40B4-BE49-F238E27FC236}">
              <a16:creationId xmlns="" xmlns:a16="http://schemas.microsoft.com/office/drawing/2014/main" id="{16876128-54BE-4C01-ACCF-291E7D81C074}"/>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5" name="PORDB2">
          <a:extLst>
            <a:ext uri="{FF2B5EF4-FFF2-40B4-BE49-F238E27FC236}">
              <a16:creationId xmlns="" xmlns:a16="http://schemas.microsoft.com/office/drawing/2014/main" id="{40559571-3159-4D79-AAC4-CD6F7BF2162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6" name="PORDB2">
          <a:extLst>
            <a:ext uri="{FF2B5EF4-FFF2-40B4-BE49-F238E27FC236}">
              <a16:creationId xmlns="" xmlns:a16="http://schemas.microsoft.com/office/drawing/2014/main" id="{30E915FB-2406-44D3-9B2A-7FA9CD70485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7" name="PORDB2">
          <a:extLst>
            <a:ext uri="{FF2B5EF4-FFF2-40B4-BE49-F238E27FC236}">
              <a16:creationId xmlns="" xmlns:a16="http://schemas.microsoft.com/office/drawing/2014/main" id="{795B65A5-D121-49C1-B6F2-D89BA44EEBD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8" name="PORDB2">
          <a:extLst>
            <a:ext uri="{FF2B5EF4-FFF2-40B4-BE49-F238E27FC236}">
              <a16:creationId xmlns="" xmlns:a16="http://schemas.microsoft.com/office/drawing/2014/main" id="{96896E25-6E84-4E2D-B006-022A9E285158}"/>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89" name="PORDB2">
          <a:extLst>
            <a:ext uri="{FF2B5EF4-FFF2-40B4-BE49-F238E27FC236}">
              <a16:creationId xmlns="" xmlns:a16="http://schemas.microsoft.com/office/drawing/2014/main" id="{E22DB954-176F-4931-9D73-1B317FC273A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0" name="PORDB2">
          <a:extLst>
            <a:ext uri="{FF2B5EF4-FFF2-40B4-BE49-F238E27FC236}">
              <a16:creationId xmlns="" xmlns:a16="http://schemas.microsoft.com/office/drawing/2014/main" id="{5BDF77B2-E548-4713-B499-D47768F72D5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1" name="PORDB2">
          <a:extLst>
            <a:ext uri="{FF2B5EF4-FFF2-40B4-BE49-F238E27FC236}">
              <a16:creationId xmlns="" xmlns:a16="http://schemas.microsoft.com/office/drawing/2014/main" id="{46256C9E-8C19-4317-9E55-8B15FC062B35}"/>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2" name="PORDB2">
          <a:extLst>
            <a:ext uri="{FF2B5EF4-FFF2-40B4-BE49-F238E27FC236}">
              <a16:creationId xmlns="" xmlns:a16="http://schemas.microsoft.com/office/drawing/2014/main" id="{9D561773-9AAF-4B1C-8516-8B87D088AF4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3" name="PORDB2">
          <a:extLst>
            <a:ext uri="{FF2B5EF4-FFF2-40B4-BE49-F238E27FC236}">
              <a16:creationId xmlns="" xmlns:a16="http://schemas.microsoft.com/office/drawing/2014/main" id="{900619D0-0F26-46CF-B444-DC9E2D243A5C}"/>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4" name="PORDB2">
          <a:extLst>
            <a:ext uri="{FF2B5EF4-FFF2-40B4-BE49-F238E27FC236}">
              <a16:creationId xmlns="" xmlns:a16="http://schemas.microsoft.com/office/drawing/2014/main" id="{0312AECD-2B10-4574-8044-51FFFEE49009}"/>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5" name="PORDB2">
          <a:extLst>
            <a:ext uri="{FF2B5EF4-FFF2-40B4-BE49-F238E27FC236}">
              <a16:creationId xmlns="" xmlns:a16="http://schemas.microsoft.com/office/drawing/2014/main" id="{7F3B449F-BC90-46E8-A1DD-CD74017E43F3}"/>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6" name="PORDB2">
          <a:extLst>
            <a:ext uri="{FF2B5EF4-FFF2-40B4-BE49-F238E27FC236}">
              <a16:creationId xmlns="" xmlns:a16="http://schemas.microsoft.com/office/drawing/2014/main" id="{137771CE-B12D-435D-8E07-1B745AAB36D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7" name="PORDB2">
          <a:extLst>
            <a:ext uri="{FF2B5EF4-FFF2-40B4-BE49-F238E27FC236}">
              <a16:creationId xmlns="" xmlns:a16="http://schemas.microsoft.com/office/drawing/2014/main" id="{D0A9F906-01D4-4C6B-A952-5321B1F272D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8" name="PORDB2">
          <a:extLst>
            <a:ext uri="{FF2B5EF4-FFF2-40B4-BE49-F238E27FC236}">
              <a16:creationId xmlns="" xmlns:a16="http://schemas.microsoft.com/office/drawing/2014/main" id="{545A4B8E-D507-435F-BBB6-DD61623DBDE8}"/>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499" name="PORDB2">
          <a:extLst>
            <a:ext uri="{FF2B5EF4-FFF2-40B4-BE49-F238E27FC236}">
              <a16:creationId xmlns="" xmlns:a16="http://schemas.microsoft.com/office/drawing/2014/main" id="{26292E04-AB7A-4558-A56B-229D174D5D74}"/>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0" name="PORDB2">
          <a:extLst>
            <a:ext uri="{FF2B5EF4-FFF2-40B4-BE49-F238E27FC236}">
              <a16:creationId xmlns="" xmlns:a16="http://schemas.microsoft.com/office/drawing/2014/main" id="{DE7CE5BC-FB9C-499D-A5CD-B22229CD421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1" name="PORDB2">
          <a:extLst>
            <a:ext uri="{FF2B5EF4-FFF2-40B4-BE49-F238E27FC236}">
              <a16:creationId xmlns="" xmlns:a16="http://schemas.microsoft.com/office/drawing/2014/main" id="{FD7AFB78-9463-4B69-88FF-910941E641ED}"/>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2" name="PORDB2">
          <a:extLst>
            <a:ext uri="{FF2B5EF4-FFF2-40B4-BE49-F238E27FC236}">
              <a16:creationId xmlns="" xmlns:a16="http://schemas.microsoft.com/office/drawing/2014/main" id="{646B1C8D-ED5E-403C-8012-66EA1D5E772D}"/>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3" name="PORDB2">
          <a:extLst>
            <a:ext uri="{FF2B5EF4-FFF2-40B4-BE49-F238E27FC236}">
              <a16:creationId xmlns="" xmlns:a16="http://schemas.microsoft.com/office/drawing/2014/main" id="{F4D21E34-88E5-44BF-B66C-120E886F203F}"/>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4" name="PORDB2">
          <a:extLst>
            <a:ext uri="{FF2B5EF4-FFF2-40B4-BE49-F238E27FC236}">
              <a16:creationId xmlns="" xmlns:a16="http://schemas.microsoft.com/office/drawing/2014/main" id="{46E75393-3EDD-4BAD-A1CE-BAFCC0C775D0}"/>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5" name="PORDB2">
          <a:extLst>
            <a:ext uri="{FF2B5EF4-FFF2-40B4-BE49-F238E27FC236}">
              <a16:creationId xmlns="" xmlns:a16="http://schemas.microsoft.com/office/drawing/2014/main" id="{F865FEA6-0D63-4F66-8A0D-6CED6CAF9539}"/>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6" name="PORDB2">
          <a:extLst>
            <a:ext uri="{FF2B5EF4-FFF2-40B4-BE49-F238E27FC236}">
              <a16:creationId xmlns="" xmlns:a16="http://schemas.microsoft.com/office/drawing/2014/main" id="{818AE209-4579-4E5B-840F-0CAAFA0F6F77}"/>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7" name="PORDB2">
          <a:extLst>
            <a:ext uri="{FF2B5EF4-FFF2-40B4-BE49-F238E27FC236}">
              <a16:creationId xmlns="" xmlns:a16="http://schemas.microsoft.com/office/drawing/2014/main" id="{6C29CBE1-D9B2-4C50-82B8-1F3631CE98B9}"/>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8" name="PORDB2">
          <a:extLst>
            <a:ext uri="{FF2B5EF4-FFF2-40B4-BE49-F238E27FC236}">
              <a16:creationId xmlns="" xmlns:a16="http://schemas.microsoft.com/office/drawing/2014/main" id="{2B64D8B5-ABEF-44EC-AC23-7B8FED9A6B8E}"/>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09" name="PORDB2">
          <a:extLst>
            <a:ext uri="{FF2B5EF4-FFF2-40B4-BE49-F238E27FC236}">
              <a16:creationId xmlns="" xmlns:a16="http://schemas.microsoft.com/office/drawing/2014/main" id="{84E19CC6-D0EE-4428-8A61-7E82C15A142B}"/>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0" name="PORDB2">
          <a:extLst>
            <a:ext uri="{FF2B5EF4-FFF2-40B4-BE49-F238E27FC236}">
              <a16:creationId xmlns="" xmlns:a16="http://schemas.microsoft.com/office/drawing/2014/main" id="{805028EE-8B8F-4375-BE2A-78E95F133BF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1" name="PORDB2">
          <a:extLst>
            <a:ext uri="{FF2B5EF4-FFF2-40B4-BE49-F238E27FC236}">
              <a16:creationId xmlns="" xmlns:a16="http://schemas.microsoft.com/office/drawing/2014/main" id="{298C43D7-829E-4787-A4A7-05652FE74C8F}"/>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2" name="PORDB2">
          <a:extLst>
            <a:ext uri="{FF2B5EF4-FFF2-40B4-BE49-F238E27FC236}">
              <a16:creationId xmlns="" xmlns:a16="http://schemas.microsoft.com/office/drawing/2014/main" id="{AFF072A3-AA06-4A76-A72B-447678D12E3A}"/>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3" name="PORDB2">
          <a:extLst>
            <a:ext uri="{FF2B5EF4-FFF2-40B4-BE49-F238E27FC236}">
              <a16:creationId xmlns="" xmlns:a16="http://schemas.microsoft.com/office/drawing/2014/main" id="{7EA9CE0B-AB05-482E-B044-5BDFBA184BE4}"/>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4" name="PORDB2">
          <a:extLst>
            <a:ext uri="{FF2B5EF4-FFF2-40B4-BE49-F238E27FC236}">
              <a16:creationId xmlns="" xmlns:a16="http://schemas.microsoft.com/office/drawing/2014/main" id="{267C07B8-AF99-40AF-8E59-12A2C7D5CC5F}"/>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5" name="PORDB2">
          <a:extLst>
            <a:ext uri="{FF2B5EF4-FFF2-40B4-BE49-F238E27FC236}">
              <a16:creationId xmlns="" xmlns:a16="http://schemas.microsoft.com/office/drawing/2014/main" id="{34C31DB0-59A5-49CA-8F18-4ED813AD8C1C}"/>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6" name="PORDB2">
          <a:extLst>
            <a:ext uri="{FF2B5EF4-FFF2-40B4-BE49-F238E27FC236}">
              <a16:creationId xmlns="" xmlns:a16="http://schemas.microsoft.com/office/drawing/2014/main" id="{CC9FF44D-5123-4E27-A008-9E391DD3C22F}"/>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7" name="PORDB2">
          <a:extLst>
            <a:ext uri="{FF2B5EF4-FFF2-40B4-BE49-F238E27FC236}">
              <a16:creationId xmlns="" xmlns:a16="http://schemas.microsoft.com/office/drawing/2014/main" id="{687F59EB-62C1-46DE-88BB-9783BD0A207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8" name="PORDB2">
          <a:extLst>
            <a:ext uri="{FF2B5EF4-FFF2-40B4-BE49-F238E27FC236}">
              <a16:creationId xmlns="" xmlns:a16="http://schemas.microsoft.com/office/drawing/2014/main" id="{A8A5E3F1-DC1D-4029-8EE3-47BCEC2466D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19" name="PORDB2">
          <a:extLst>
            <a:ext uri="{FF2B5EF4-FFF2-40B4-BE49-F238E27FC236}">
              <a16:creationId xmlns="" xmlns:a16="http://schemas.microsoft.com/office/drawing/2014/main" id="{FDC6EDC3-A493-46CE-9456-41468F19E22C}"/>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0" name="PORDB2">
          <a:extLst>
            <a:ext uri="{FF2B5EF4-FFF2-40B4-BE49-F238E27FC236}">
              <a16:creationId xmlns="" xmlns:a16="http://schemas.microsoft.com/office/drawing/2014/main" id="{527296C8-9C3E-4D09-B795-61D5428C59B5}"/>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1" name="PORDB2">
          <a:extLst>
            <a:ext uri="{FF2B5EF4-FFF2-40B4-BE49-F238E27FC236}">
              <a16:creationId xmlns="" xmlns:a16="http://schemas.microsoft.com/office/drawing/2014/main" id="{5C782900-A227-488A-87EC-139EFBD2D6A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2" name="PORDB2">
          <a:extLst>
            <a:ext uri="{FF2B5EF4-FFF2-40B4-BE49-F238E27FC236}">
              <a16:creationId xmlns="" xmlns:a16="http://schemas.microsoft.com/office/drawing/2014/main" id="{56C647BB-5FEF-4EB7-8116-2EEE85FC7C4F}"/>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3" name="PORDB2">
          <a:extLst>
            <a:ext uri="{FF2B5EF4-FFF2-40B4-BE49-F238E27FC236}">
              <a16:creationId xmlns="" xmlns:a16="http://schemas.microsoft.com/office/drawing/2014/main" id="{37D7A5AC-D2A4-42F8-A932-30F9C0E019DD}"/>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4" name="PORDB2">
          <a:extLst>
            <a:ext uri="{FF2B5EF4-FFF2-40B4-BE49-F238E27FC236}">
              <a16:creationId xmlns="" xmlns:a16="http://schemas.microsoft.com/office/drawing/2014/main" id="{7BEB6881-C5D0-4E87-8AC6-2884C437CBD4}"/>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5" name="PORDB2">
          <a:extLst>
            <a:ext uri="{FF2B5EF4-FFF2-40B4-BE49-F238E27FC236}">
              <a16:creationId xmlns="" xmlns:a16="http://schemas.microsoft.com/office/drawing/2014/main" id="{E7F59181-0BE8-4BDF-B0D4-70175A94F35F}"/>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6" name="PORDB2">
          <a:extLst>
            <a:ext uri="{FF2B5EF4-FFF2-40B4-BE49-F238E27FC236}">
              <a16:creationId xmlns="" xmlns:a16="http://schemas.microsoft.com/office/drawing/2014/main" id="{6A844BEA-05FA-4117-BA06-917DAE2B8280}"/>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7" name="PORDB2">
          <a:extLst>
            <a:ext uri="{FF2B5EF4-FFF2-40B4-BE49-F238E27FC236}">
              <a16:creationId xmlns="" xmlns:a16="http://schemas.microsoft.com/office/drawing/2014/main" id="{94546CFB-EFA7-4E2C-821A-3DCF1E44F599}"/>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8" name="PORDB2">
          <a:extLst>
            <a:ext uri="{FF2B5EF4-FFF2-40B4-BE49-F238E27FC236}">
              <a16:creationId xmlns="" xmlns:a16="http://schemas.microsoft.com/office/drawing/2014/main" id="{C4509A75-2F3C-4E71-AD42-A2519ECA9BC7}"/>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29" name="PORDB2">
          <a:extLst>
            <a:ext uri="{FF2B5EF4-FFF2-40B4-BE49-F238E27FC236}">
              <a16:creationId xmlns="" xmlns:a16="http://schemas.microsoft.com/office/drawing/2014/main" id="{267758A3-5600-4676-8774-B4ABB04BECB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0" name="PORDB2">
          <a:extLst>
            <a:ext uri="{FF2B5EF4-FFF2-40B4-BE49-F238E27FC236}">
              <a16:creationId xmlns="" xmlns:a16="http://schemas.microsoft.com/office/drawing/2014/main" id="{6A7E432D-FA60-4B19-9306-36E10EBCB8E0}"/>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1" name="PORDB2">
          <a:extLst>
            <a:ext uri="{FF2B5EF4-FFF2-40B4-BE49-F238E27FC236}">
              <a16:creationId xmlns="" xmlns:a16="http://schemas.microsoft.com/office/drawing/2014/main" id="{2092C6A0-3746-4AA8-9362-2DC9AD95F913}"/>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2" name="PORDB2">
          <a:extLst>
            <a:ext uri="{FF2B5EF4-FFF2-40B4-BE49-F238E27FC236}">
              <a16:creationId xmlns="" xmlns:a16="http://schemas.microsoft.com/office/drawing/2014/main" id="{B9D53762-2D72-4BE5-BD46-B8A2C64EB50C}"/>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3" name="PORDB2">
          <a:extLst>
            <a:ext uri="{FF2B5EF4-FFF2-40B4-BE49-F238E27FC236}">
              <a16:creationId xmlns="" xmlns:a16="http://schemas.microsoft.com/office/drawing/2014/main" id="{CEED1525-F97C-4A51-A1DF-DE47D901B3C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4" name="PORDB2">
          <a:extLst>
            <a:ext uri="{FF2B5EF4-FFF2-40B4-BE49-F238E27FC236}">
              <a16:creationId xmlns="" xmlns:a16="http://schemas.microsoft.com/office/drawing/2014/main" id="{E185001E-635A-49D8-B2EC-9AFA1FC4DBC9}"/>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5" name="PORDB2">
          <a:extLst>
            <a:ext uri="{FF2B5EF4-FFF2-40B4-BE49-F238E27FC236}">
              <a16:creationId xmlns="" xmlns:a16="http://schemas.microsoft.com/office/drawing/2014/main" id="{6398BEF3-5E95-41A0-8518-D11D0BBDC234}"/>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6" name="PORDB2">
          <a:extLst>
            <a:ext uri="{FF2B5EF4-FFF2-40B4-BE49-F238E27FC236}">
              <a16:creationId xmlns="" xmlns:a16="http://schemas.microsoft.com/office/drawing/2014/main" id="{C4BA0072-D58F-4C7F-81DA-C9B7FE2E6427}"/>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7" name="PORDB2">
          <a:extLst>
            <a:ext uri="{FF2B5EF4-FFF2-40B4-BE49-F238E27FC236}">
              <a16:creationId xmlns="" xmlns:a16="http://schemas.microsoft.com/office/drawing/2014/main" id="{38A5A264-85C3-4964-8B64-C854C3D5749C}"/>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8" name="PORDB2">
          <a:extLst>
            <a:ext uri="{FF2B5EF4-FFF2-40B4-BE49-F238E27FC236}">
              <a16:creationId xmlns="" xmlns:a16="http://schemas.microsoft.com/office/drawing/2014/main" id="{88B0044B-D44A-43DE-AF5B-FD567D81D40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39" name="PORDB2">
          <a:extLst>
            <a:ext uri="{FF2B5EF4-FFF2-40B4-BE49-F238E27FC236}">
              <a16:creationId xmlns="" xmlns:a16="http://schemas.microsoft.com/office/drawing/2014/main" id="{7D2835D9-ED80-431E-8252-19996683E1D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0" name="PORDB2">
          <a:extLst>
            <a:ext uri="{FF2B5EF4-FFF2-40B4-BE49-F238E27FC236}">
              <a16:creationId xmlns="" xmlns:a16="http://schemas.microsoft.com/office/drawing/2014/main" id="{DEE83D08-6F7B-4014-949B-AE9BBA824BD2}"/>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1" name="PORDB2">
          <a:extLst>
            <a:ext uri="{FF2B5EF4-FFF2-40B4-BE49-F238E27FC236}">
              <a16:creationId xmlns="" xmlns:a16="http://schemas.microsoft.com/office/drawing/2014/main" id="{6DFD14DF-F271-4006-9153-F83641E14F4B}"/>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2" name="PORDB2">
          <a:extLst>
            <a:ext uri="{FF2B5EF4-FFF2-40B4-BE49-F238E27FC236}">
              <a16:creationId xmlns="" xmlns:a16="http://schemas.microsoft.com/office/drawing/2014/main" id="{F599BDC6-08C1-4949-AB5B-D980F47359E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3" name="PORDB2">
          <a:extLst>
            <a:ext uri="{FF2B5EF4-FFF2-40B4-BE49-F238E27FC236}">
              <a16:creationId xmlns="" xmlns:a16="http://schemas.microsoft.com/office/drawing/2014/main" id="{CAB32EA6-20B9-4537-8533-DEB807EC4B2E}"/>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4" name="PORDB2">
          <a:extLst>
            <a:ext uri="{FF2B5EF4-FFF2-40B4-BE49-F238E27FC236}">
              <a16:creationId xmlns="" xmlns:a16="http://schemas.microsoft.com/office/drawing/2014/main" id="{48D83A31-DAD6-4BB4-8EF2-8645DF293890}"/>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5" name="PORDB2">
          <a:extLst>
            <a:ext uri="{FF2B5EF4-FFF2-40B4-BE49-F238E27FC236}">
              <a16:creationId xmlns="" xmlns:a16="http://schemas.microsoft.com/office/drawing/2014/main" id="{74A9117B-DB55-4DA5-AC8F-1FB4F2204C0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6" name="PORDB2">
          <a:extLst>
            <a:ext uri="{FF2B5EF4-FFF2-40B4-BE49-F238E27FC236}">
              <a16:creationId xmlns="" xmlns:a16="http://schemas.microsoft.com/office/drawing/2014/main" id="{4B6A027F-1053-4314-9E8E-8881DBDA5933}"/>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7" name="PORDB2">
          <a:extLst>
            <a:ext uri="{FF2B5EF4-FFF2-40B4-BE49-F238E27FC236}">
              <a16:creationId xmlns="" xmlns:a16="http://schemas.microsoft.com/office/drawing/2014/main" id="{A18DFDEE-C561-4289-AAE3-29AB089126C8}"/>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8" name="PORDB2">
          <a:extLst>
            <a:ext uri="{FF2B5EF4-FFF2-40B4-BE49-F238E27FC236}">
              <a16:creationId xmlns="" xmlns:a16="http://schemas.microsoft.com/office/drawing/2014/main" id="{109C0E02-987A-41D9-9BE5-A649A9C86B2B}"/>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49" name="PORDB2">
          <a:extLst>
            <a:ext uri="{FF2B5EF4-FFF2-40B4-BE49-F238E27FC236}">
              <a16:creationId xmlns="" xmlns:a16="http://schemas.microsoft.com/office/drawing/2014/main" id="{D6A06FAC-5809-4E1A-8788-0E63F2E41011}"/>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50" name="PORDB2">
          <a:extLst>
            <a:ext uri="{FF2B5EF4-FFF2-40B4-BE49-F238E27FC236}">
              <a16:creationId xmlns="" xmlns:a16="http://schemas.microsoft.com/office/drawing/2014/main" id="{7D4F0D94-9174-49E3-8FE3-78C170937367}"/>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51" name="PORDB2">
          <a:extLst>
            <a:ext uri="{FF2B5EF4-FFF2-40B4-BE49-F238E27FC236}">
              <a16:creationId xmlns="" xmlns:a16="http://schemas.microsoft.com/office/drawing/2014/main" id="{A504FE1A-CBA4-4032-99BD-AA25708F9927}"/>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52" name="PORDB2">
          <a:extLst>
            <a:ext uri="{FF2B5EF4-FFF2-40B4-BE49-F238E27FC236}">
              <a16:creationId xmlns="" xmlns:a16="http://schemas.microsoft.com/office/drawing/2014/main" id="{2094FB64-EDEE-4E01-B6EC-8DD7905E5CE7}"/>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twoCellAnchor>
    <xdr:from>
      <xdr:col>9</xdr:col>
      <xdr:colOff>523875</xdr:colOff>
      <xdr:row>10</xdr:row>
      <xdr:rowOff>66675</xdr:rowOff>
    </xdr:from>
    <xdr:to>
      <xdr:col>17</xdr:col>
      <xdr:colOff>0</xdr:colOff>
      <xdr:row>15</xdr:row>
      <xdr:rowOff>57150</xdr:rowOff>
    </xdr:to>
    <xdr:sp macro="" textlink="">
      <xdr:nvSpPr>
        <xdr:cNvPr id="553" name="PORDB2">
          <a:extLst>
            <a:ext uri="{FF2B5EF4-FFF2-40B4-BE49-F238E27FC236}">
              <a16:creationId xmlns="" xmlns:a16="http://schemas.microsoft.com/office/drawing/2014/main" id="{24520BE0-2954-4EC0-9643-D2C6AB4E3206}"/>
            </a:ext>
          </a:extLst>
        </xdr:cNvPr>
        <xdr:cNvSpPr>
          <a:spLocks noChangeArrowheads="1"/>
        </xdr:cNvSpPr>
      </xdr:nvSpPr>
      <xdr:spPr bwMode="auto">
        <a:xfrm>
          <a:off x="4800600" y="1685925"/>
          <a:ext cx="4248150" cy="800100"/>
        </a:xfrm>
        <a:prstGeom prst="roundRect">
          <a:avLst>
            <a:gd name="adj" fmla="val 1264"/>
          </a:avLst>
        </a:prstGeom>
        <a:noFill/>
        <a:ln w="9525">
          <a:solidFill>
            <a:srgbClr val="000000"/>
          </a:solidFill>
          <a:round/>
          <a:headEnd/>
          <a:tailEnd/>
        </a:ln>
      </xdr:spPr>
    </xdr:sp>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8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8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1">
    <pageSetUpPr fitToPage="1"/>
  </sheetPr>
  <dimension ref="A1:T79"/>
  <sheetViews>
    <sheetView tabSelected="1" topLeftCell="B10" zoomScaleNormal="100" workbookViewId="0">
      <selection activeCell="Q5" sqref="Q5"/>
    </sheetView>
  </sheetViews>
  <sheetFormatPr defaultColWidth="9.140625" defaultRowHeight="12.75" x14ac:dyDescent="0.2"/>
  <cols>
    <col min="1" max="1" width="0.42578125" style="108" hidden="1" customWidth="1"/>
    <col min="2" max="2" width="4.28515625" style="55" bestFit="1" customWidth="1"/>
    <col min="3" max="3" width="12.7109375" style="55" customWidth="1"/>
    <col min="4" max="4" width="7.7109375" style="55" customWidth="1"/>
    <col min="5" max="9" width="8.7109375" style="55" customWidth="1"/>
    <col min="10" max="10" width="4.7109375" style="55" customWidth="1"/>
    <col min="11" max="11" width="7.7109375" style="55" customWidth="1"/>
    <col min="12" max="13" width="8.7109375" style="55" customWidth="1"/>
    <col min="14" max="14" width="4.28515625" style="55" customWidth="1"/>
    <col min="15" max="15" width="2.7109375" style="55" customWidth="1"/>
    <col min="16" max="17" width="16" style="55" customWidth="1"/>
    <col min="18" max="18" width="0.7109375" style="55" customWidth="1"/>
    <col min="19" max="19" width="3.42578125" style="55" customWidth="1"/>
    <col min="20" max="20" width="9.140625" style="55" hidden="1" customWidth="1"/>
    <col min="21" max="16384" width="9.140625" style="99"/>
  </cols>
  <sheetData>
    <row r="1" spans="1:20" ht="3" customHeight="1" x14ac:dyDescent="0.2">
      <c r="A1" s="49"/>
      <c r="B1" s="50"/>
      <c r="C1" s="50"/>
      <c r="D1" s="50"/>
      <c r="E1" s="50"/>
      <c r="F1" s="50"/>
      <c r="G1" s="50"/>
      <c r="H1" s="50"/>
      <c r="I1" s="50"/>
      <c r="J1" s="50"/>
      <c r="K1" s="50"/>
      <c r="L1" s="50"/>
      <c r="M1" s="50"/>
      <c r="N1" s="50"/>
      <c r="O1" s="50"/>
      <c r="P1" s="50"/>
      <c r="Q1" s="50"/>
      <c r="R1" s="50"/>
      <c r="S1" s="51"/>
      <c r="T1" s="52"/>
    </row>
    <row r="2" spans="1:20" ht="3" customHeight="1" x14ac:dyDescent="0.2">
      <c r="A2" s="53"/>
      <c r="B2" s="54"/>
      <c r="C2" s="54"/>
      <c r="D2" s="54"/>
      <c r="E2" s="54"/>
      <c r="F2" s="54"/>
      <c r="G2" s="54"/>
      <c r="H2" s="54"/>
      <c r="I2" s="54"/>
      <c r="J2" s="54"/>
      <c r="K2" s="54"/>
      <c r="L2" s="54"/>
      <c r="M2" s="54"/>
      <c r="N2" s="54"/>
      <c r="O2" s="54"/>
      <c r="P2" s="54"/>
      <c r="Q2" s="54"/>
      <c r="R2" s="54"/>
      <c r="S2" s="1"/>
    </row>
    <row r="3" spans="1:20" x14ac:dyDescent="0.2">
      <c r="A3" s="53"/>
      <c r="B3" s="54"/>
      <c r="C3" s="54"/>
      <c r="D3" s="54"/>
      <c r="E3" s="54"/>
      <c r="F3" s="54"/>
      <c r="G3" s="54"/>
      <c r="H3" s="54"/>
      <c r="I3" s="54"/>
      <c r="J3" s="54"/>
      <c r="K3" s="54"/>
      <c r="L3" s="54"/>
      <c r="M3" s="54"/>
      <c r="N3" s="54"/>
      <c r="O3" s="54"/>
      <c r="P3" s="54"/>
      <c r="Q3" s="54"/>
      <c r="R3" s="54"/>
      <c r="S3" s="1"/>
    </row>
    <row r="4" spans="1:20" ht="27" customHeight="1" x14ac:dyDescent="0.2">
      <c r="A4" s="53"/>
      <c r="B4" s="54"/>
      <c r="C4" s="54"/>
      <c r="D4" s="54"/>
      <c r="E4" s="54"/>
      <c r="F4" s="54"/>
      <c r="G4" s="54"/>
      <c r="H4" s="54"/>
      <c r="I4" s="54"/>
      <c r="J4" s="54"/>
      <c r="K4" s="54"/>
      <c r="L4" s="56"/>
      <c r="M4" s="156"/>
      <c r="N4" s="156"/>
      <c r="O4" s="156"/>
      <c r="P4" s="57"/>
      <c r="Q4" s="133"/>
      <c r="R4" s="54"/>
      <c r="S4" s="1"/>
    </row>
    <row r="5" spans="1:20" ht="18.75" customHeight="1" x14ac:dyDescent="0.2">
      <c r="A5" s="53"/>
      <c r="B5" s="54"/>
      <c r="C5" s="54"/>
      <c r="D5" s="54"/>
      <c r="E5" s="54"/>
      <c r="F5" s="54"/>
      <c r="G5" s="54"/>
      <c r="H5" s="54"/>
      <c r="I5" s="54"/>
      <c r="J5" s="54"/>
      <c r="K5" s="149" t="s">
        <v>0</v>
      </c>
      <c r="L5" s="149"/>
      <c r="M5" s="165"/>
      <c r="N5" s="165"/>
      <c r="O5" s="165"/>
      <c r="P5" s="56" t="s">
        <v>1</v>
      </c>
      <c r="Q5" s="124"/>
      <c r="R5" s="54"/>
      <c r="S5" s="1"/>
    </row>
    <row r="6" spans="1:20" ht="15.75" x14ac:dyDescent="0.2">
      <c r="A6" s="53"/>
      <c r="B6" s="54"/>
      <c r="C6" s="54"/>
      <c r="D6" s="54"/>
      <c r="E6" s="54"/>
      <c r="F6" s="54"/>
      <c r="G6" s="54"/>
      <c r="H6" s="54"/>
      <c r="I6" s="54"/>
      <c r="J6" s="54"/>
      <c r="K6" s="149"/>
      <c r="L6" s="149"/>
      <c r="M6" s="134"/>
      <c r="N6" s="134"/>
      <c r="O6" s="134"/>
      <c r="P6" s="59"/>
      <c r="Q6" s="60"/>
      <c r="R6" s="54"/>
      <c r="S6" s="1"/>
    </row>
    <row r="7" spans="1:20" ht="15.75" x14ac:dyDescent="0.2">
      <c r="A7" s="53"/>
      <c r="B7" s="54"/>
      <c r="C7" s="54"/>
      <c r="D7" s="54"/>
      <c r="E7" s="54"/>
      <c r="F7" s="54"/>
      <c r="G7" s="54"/>
      <c r="H7" s="54"/>
      <c r="I7" s="54"/>
      <c r="J7" s="54"/>
      <c r="K7" s="54"/>
      <c r="L7" s="56" t="s">
        <v>25</v>
      </c>
      <c r="M7" s="58"/>
      <c r="N7" s="58"/>
      <c r="O7" s="58"/>
      <c r="P7" s="61"/>
      <c r="Q7" s="61"/>
      <c r="R7" s="54"/>
      <c r="S7" s="1"/>
    </row>
    <row r="8" spans="1:20" ht="15" customHeight="1" thickBot="1" x14ac:dyDescent="0.25">
      <c r="A8" s="53"/>
      <c r="B8" s="54"/>
      <c r="C8" s="54"/>
      <c r="D8" s="54"/>
      <c r="E8" s="54"/>
      <c r="F8" s="54"/>
      <c r="G8" s="54"/>
      <c r="H8" s="54"/>
      <c r="I8" s="54"/>
      <c r="J8" s="54"/>
      <c r="K8" s="54"/>
      <c r="L8" s="54"/>
      <c r="M8" s="54"/>
      <c r="N8" s="54"/>
      <c r="O8" s="54"/>
      <c r="P8" s="54"/>
      <c r="Q8" s="54"/>
      <c r="R8" s="54"/>
      <c r="S8" s="1"/>
    </row>
    <row r="9" spans="1:20" ht="3" customHeight="1" thickTop="1" x14ac:dyDescent="0.2">
      <c r="A9" s="62"/>
      <c r="B9" s="33"/>
      <c r="C9" s="33"/>
      <c r="D9" s="33"/>
      <c r="E9" s="33"/>
      <c r="F9" s="33"/>
      <c r="G9" s="33"/>
      <c r="H9" s="33"/>
      <c r="I9" s="33"/>
      <c r="J9" s="33"/>
      <c r="K9" s="34"/>
      <c r="L9" s="34"/>
      <c r="M9" s="33"/>
      <c r="N9" s="33"/>
      <c r="O9" s="33"/>
      <c r="P9" s="33"/>
      <c r="Q9" s="33"/>
      <c r="R9" s="33"/>
      <c r="S9" s="35"/>
      <c r="T9" s="36"/>
    </row>
    <row r="10" spans="1:20" ht="14.1" customHeight="1" x14ac:dyDescent="0.2">
      <c r="A10" s="53"/>
      <c r="B10" s="54"/>
      <c r="C10" s="54"/>
      <c r="D10" s="54"/>
      <c r="E10" s="54"/>
      <c r="F10" s="54"/>
      <c r="G10" s="54"/>
      <c r="H10" s="54"/>
      <c r="I10" s="54"/>
      <c r="J10" s="54"/>
      <c r="K10" s="54"/>
      <c r="L10" s="54"/>
      <c r="M10" s="54"/>
      <c r="N10" s="54"/>
      <c r="O10" s="54"/>
      <c r="P10" s="54"/>
      <c r="Q10" s="54"/>
      <c r="R10" s="54"/>
      <c r="S10" s="1"/>
    </row>
    <row r="11" spans="1:20" x14ac:dyDescent="0.2">
      <c r="A11" s="53"/>
      <c r="B11" s="54"/>
      <c r="C11" s="54"/>
      <c r="D11" s="63"/>
      <c r="E11" s="54"/>
      <c r="F11" s="54"/>
      <c r="G11" s="54"/>
      <c r="H11" s="54"/>
      <c r="I11" s="54"/>
      <c r="J11" s="54"/>
      <c r="K11" s="54"/>
      <c r="L11" s="54"/>
      <c r="M11" s="54"/>
      <c r="N11" s="54"/>
      <c r="O11" s="54"/>
      <c r="P11" s="54"/>
      <c r="Q11" s="54"/>
      <c r="R11" s="54"/>
      <c r="S11" s="1"/>
    </row>
    <row r="12" spans="1:20" x14ac:dyDescent="0.2">
      <c r="A12" s="53"/>
      <c r="B12" s="54"/>
      <c r="C12" s="64" t="s">
        <v>3</v>
      </c>
      <c r="D12" s="65"/>
      <c r="E12" s="65"/>
      <c r="F12" s="65"/>
      <c r="G12" s="65"/>
      <c r="H12" s="65"/>
      <c r="I12" s="65"/>
      <c r="J12" s="66"/>
      <c r="K12" s="67" t="s">
        <v>20</v>
      </c>
      <c r="L12" s="68"/>
      <c r="M12" s="69"/>
      <c r="N12" s="69"/>
      <c r="O12" s="69"/>
      <c r="P12" s="69"/>
      <c r="Q12" s="69"/>
      <c r="R12" s="54"/>
      <c r="S12" s="1"/>
    </row>
    <row r="13" spans="1:20" x14ac:dyDescent="0.2">
      <c r="A13" s="53"/>
      <c r="B13" s="54"/>
      <c r="C13" s="64" t="s">
        <v>21</v>
      </c>
      <c r="D13" s="65"/>
      <c r="E13" s="65"/>
      <c r="F13" s="65"/>
      <c r="G13" s="65"/>
      <c r="H13" s="65"/>
      <c r="I13" s="65"/>
      <c r="J13" s="66"/>
      <c r="K13" s="67" t="s">
        <v>4</v>
      </c>
      <c r="L13" s="68"/>
      <c r="M13" s="65"/>
      <c r="N13" s="65"/>
      <c r="O13" s="65"/>
      <c r="P13" s="65"/>
      <c r="Q13" s="65"/>
      <c r="R13" s="54"/>
      <c r="S13" s="1"/>
    </row>
    <row r="14" spans="1:20" x14ac:dyDescent="0.2">
      <c r="A14" s="53"/>
      <c r="B14" s="54"/>
      <c r="C14" s="64" t="s">
        <v>5</v>
      </c>
      <c r="D14" s="65"/>
      <c r="E14" s="65"/>
      <c r="F14" s="70" t="s">
        <v>6</v>
      </c>
      <c r="G14" s="71"/>
      <c r="H14" s="64" t="s">
        <v>7</v>
      </c>
      <c r="I14" s="132"/>
      <c r="J14" s="66"/>
      <c r="K14" s="64" t="s">
        <v>5</v>
      </c>
      <c r="L14" s="71"/>
      <c r="M14" s="64"/>
      <c r="N14" s="64" t="s">
        <v>6</v>
      </c>
      <c r="O14" s="164"/>
      <c r="P14" s="164"/>
      <c r="Q14" s="65"/>
      <c r="R14" s="54"/>
      <c r="S14" s="1"/>
    </row>
    <row r="15" spans="1:20" x14ac:dyDescent="0.2">
      <c r="A15" s="53"/>
      <c r="B15" s="54"/>
      <c r="C15" s="64" t="s">
        <v>8</v>
      </c>
      <c r="D15" s="65"/>
      <c r="E15" s="65"/>
      <c r="F15" s="72" t="s">
        <v>2</v>
      </c>
      <c r="G15" s="2"/>
      <c r="H15" s="73"/>
      <c r="I15" s="3"/>
      <c r="J15" s="74"/>
      <c r="K15" s="67" t="s">
        <v>22</v>
      </c>
      <c r="L15" s="123"/>
      <c r="M15" s="65"/>
      <c r="N15" s="150" t="s">
        <v>2</v>
      </c>
      <c r="O15" s="150"/>
      <c r="P15" s="4"/>
      <c r="Q15" s="4"/>
      <c r="R15" s="54"/>
      <c r="S15" s="1"/>
    </row>
    <row r="16" spans="1:20" x14ac:dyDescent="0.2">
      <c r="A16" s="53"/>
      <c r="B16" s="54"/>
      <c r="C16" s="54"/>
      <c r="D16" s="54"/>
      <c r="E16" s="54"/>
      <c r="F16" s="54"/>
      <c r="G16" s="54"/>
      <c r="H16" s="54"/>
      <c r="I16" s="54"/>
      <c r="J16" s="54"/>
      <c r="K16" s="54"/>
      <c r="L16" s="54"/>
      <c r="M16" s="54"/>
      <c r="N16" s="54"/>
      <c r="O16" s="54"/>
      <c r="P16" s="54"/>
      <c r="Q16" s="54"/>
      <c r="R16" s="54"/>
      <c r="S16" s="1"/>
    </row>
    <row r="17" spans="1:20" x14ac:dyDescent="0.2">
      <c r="A17" s="53"/>
      <c r="B17" s="54"/>
      <c r="C17" s="76" t="s">
        <v>48</v>
      </c>
      <c r="D17" s="54"/>
      <c r="E17" s="54"/>
      <c r="F17" s="54"/>
      <c r="G17" s="54"/>
      <c r="H17" s="54"/>
      <c r="I17" s="54"/>
      <c r="J17" s="54"/>
      <c r="K17" s="54"/>
      <c r="L17" s="54"/>
      <c r="M17" s="54"/>
      <c r="N17" s="54"/>
      <c r="O17" s="54"/>
      <c r="P17" s="54"/>
      <c r="Q17" s="54"/>
      <c r="R17" s="54"/>
      <c r="S17" s="1"/>
    </row>
    <row r="18" spans="1:20" x14ac:dyDescent="0.2">
      <c r="A18" s="49"/>
      <c r="B18" s="18"/>
      <c r="C18" s="19" t="s">
        <v>3</v>
      </c>
      <c r="D18" s="130"/>
      <c r="E18" s="130"/>
      <c r="F18" s="44"/>
      <c r="G18" s="44"/>
      <c r="H18" s="27"/>
      <c r="I18" s="28"/>
      <c r="J18" s="54"/>
      <c r="K18" s="54"/>
      <c r="L18" s="54"/>
      <c r="M18" s="54"/>
      <c r="N18" s="54"/>
      <c r="O18" s="54"/>
      <c r="P18" s="54"/>
      <c r="Q18" s="54"/>
      <c r="R18" s="54"/>
      <c r="S18" s="1"/>
    </row>
    <row r="19" spans="1:20" x14ac:dyDescent="0.2">
      <c r="A19" s="53"/>
      <c r="B19" s="20"/>
      <c r="C19" s="64" t="s">
        <v>46</v>
      </c>
      <c r="D19" s="131"/>
      <c r="E19" s="131"/>
      <c r="F19" s="45"/>
      <c r="G19" s="45"/>
      <c r="H19" s="29"/>
      <c r="I19" s="30"/>
      <c r="J19" s="54"/>
      <c r="K19" s="54"/>
      <c r="L19" s="54"/>
      <c r="M19" s="77"/>
      <c r="N19" s="54"/>
      <c r="O19" s="54"/>
      <c r="P19" s="54"/>
      <c r="Q19" s="54"/>
      <c r="R19" s="54"/>
      <c r="S19" s="1"/>
    </row>
    <row r="20" spans="1:20" x14ac:dyDescent="0.2">
      <c r="A20" s="53"/>
      <c r="B20" s="20"/>
      <c r="C20" s="64" t="s">
        <v>47</v>
      </c>
      <c r="D20" s="131"/>
      <c r="E20" s="131"/>
      <c r="F20" s="45"/>
      <c r="G20" s="45"/>
      <c r="H20" s="29"/>
      <c r="I20" s="30"/>
      <c r="J20" s="54"/>
      <c r="K20" s="54"/>
      <c r="L20" s="54"/>
      <c r="M20" s="54"/>
      <c r="N20" s="54"/>
      <c r="O20" s="54"/>
      <c r="P20" s="54"/>
      <c r="Q20" s="54"/>
      <c r="R20" s="54"/>
      <c r="S20" s="1"/>
    </row>
    <row r="21" spans="1:20" x14ac:dyDescent="0.2">
      <c r="A21" s="53"/>
      <c r="B21" s="20"/>
      <c r="C21" s="64" t="s">
        <v>4</v>
      </c>
      <c r="D21" s="131"/>
      <c r="E21" s="131"/>
      <c r="F21" s="45"/>
      <c r="G21" s="45"/>
      <c r="H21" s="29"/>
      <c r="I21" s="30"/>
      <c r="J21" s="54"/>
      <c r="K21" s="54"/>
      <c r="L21" s="54"/>
      <c r="M21" s="54"/>
      <c r="N21" s="54"/>
      <c r="O21" s="54"/>
      <c r="P21" s="54"/>
      <c r="Q21" s="54"/>
      <c r="R21" s="54"/>
      <c r="S21" s="1"/>
    </row>
    <row r="22" spans="1:20" x14ac:dyDescent="0.2">
      <c r="A22" s="53"/>
      <c r="B22" s="20"/>
      <c r="C22" s="64" t="s">
        <v>8</v>
      </c>
      <c r="D22" s="48"/>
      <c r="E22" s="31"/>
      <c r="F22" s="72" t="s">
        <v>2</v>
      </c>
      <c r="G22" s="31"/>
      <c r="H22" s="31"/>
      <c r="I22" s="32"/>
      <c r="J22" s="54"/>
      <c r="K22" s="54"/>
      <c r="L22" s="54"/>
      <c r="M22" s="54"/>
      <c r="N22" s="54"/>
      <c r="O22" s="54"/>
      <c r="P22" s="54"/>
      <c r="Q22" s="54"/>
      <c r="R22" s="54"/>
      <c r="S22" s="1"/>
    </row>
    <row r="23" spans="1:20" ht="3.75" customHeight="1" x14ac:dyDescent="0.2">
      <c r="A23" s="53"/>
      <c r="B23" s="21"/>
      <c r="C23" s="22"/>
      <c r="D23" s="26"/>
      <c r="E23" s="26"/>
      <c r="F23" s="23"/>
      <c r="G23" s="24"/>
      <c r="H23" s="24"/>
      <c r="I23" s="25"/>
      <c r="J23" s="54"/>
      <c r="K23" s="54"/>
      <c r="L23" s="54"/>
      <c r="M23" s="54"/>
      <c r="N23" s="54"/>
      <c r="O23" s="54"/>
      <c r="P23" s="54"/>
      <c r="Q23" s="54"/>
      <c r="R23" s="54"/>
      <c r="S23" s="1"/>
    </row>
    <row r="24" spans="1:20" x14ac:dyDescent="0.2">
      <c r="A24" s="53"/>
      <c r="B24" s="54"/>
      <c r="C24" s="54"/>
      <c r="D24" s="54"/>
      <c r="E24" s="54"/>
      <c r="F24" s="54"/>
      <c r="G24" s="54"/>
      <c r="H24" s="54"/>
      <c r="I24" s="54"/>
      <c r="J24" s="54"/>
      <c r="K24" s="54"/>
      <c r="L24" s="54"/>
      <c r="M24" s="54"/>
      <c r="N24" s="54"/>
      <c r="O24" s="54"/>
      <c r="P24" s="54"/>
      <c r="Q24" s="54"/>
      <c r="R24" s="54"/>
      <c r="S24" s="1"/>
    </row>
    <row r="25" spans="1:20" x14ac:dyDescent="0.2">
      <c r="A25" s="46"/>
      <c r="B25" s="47" t="s">
        <v>9</v>
      </c>
      <c r="C25" s="47" t="s">
        <v>23</v>
      </c>
      <c r="D25" s="47" t="s">
        <v>10</v>
      </c>
      <c r="E25" s="151" t="s">
        <v>55</v>
      </c>
      <c r="F25" s="151"/>
      <c r="G25" s="151"/>
      <c r="H25" s="151"/>
      <c r="I25" s="151"/>
      <c r="J25" s="151"/>
      <c r="K25" s="151"/>
      <c r="L25" s="151"/>
      <c r="M25" s="151"/>
      <c r="N25" s="151"/>
      <c r="O25" s="151"/>
      <c r="P25" s="47" t="s">
        <v>54</v>
      </c>
      <c r="Q25" s="47" t="s">
        <v>11</v>
      </c>
      <c r="R25" s="54"/>
      <c r="S25" s="1"/>
      <c r="T25" s="139"/>
    </row>
    <row r="26" spans="1:20" x14ac:dyDescent="0.2">
      <c r="A26" s="109"/>
      <c r="B26" s="113"/>
      <c r="C26" s="115"/>
      <c r="D26" s="115"/>
      <c r="E26" s="110"/>
      <c r="F26" s="110"/>
      <c r="G26" s="110"/>
      <c r="H26" s="110"/>
      <c r="I26" s="110"/>
      <c r="J26" s="110"/>
      <c r="K26" s="110"/>
      <c r="L26" s="110"/>
      <c r="M26" s="110"/>
      <c r="N26" s="110"/>
      <c r="O26" s="110"/>
      <c r="P26" s="120"/>
      <c r="Q26" s="115"/>
      <c r="R26" s="99"/>
      <c r="S26" s="1"/>
      <c r="T26" s="99"/>
    </row>
    <row r="27" spans="1:20" s="140" customFormat="1" ht="24.75" customHeight="1" x14ac:dyDescent="0.2">
      <c r="A27" s="78"/>
      <c r="B27" s="125">
        <v>1</v>
      </c>
      <c r="C27" s="128"/>
      <c r="D27" s="126"/>
      <c r="E27" s="143"/>
      <c r="F27" s="143"/>
      <c r="G27" s="143"/>
      <c r="H27" s="143"/>
      <c r="I27" s="143"/>
      <c r="J27" s="143"/>
      <c r="K27" s="143"/>
      <c r="L27" s="143"/>
      <c r="M27" s="143"/>
      <c r="N27" s="143"/>
      <c r="O27" s="143"/>
      <c r="P27" s="129"/>
      <c r="Q27" s="127">
        <f>SUM(C27*P27)</f>
        <v>0</v>
      </c>
      <c r="R27" s="79"/>
      <c r="S27" s="1"/>
      <c r="T27" s="80"/>
    </row>
    <row r="28" spans="1:20" s="140" customFormat="1" ht="15" x14ac:dyDescent="0.2">
      <c r="A28" s="78"/>
      <c r="B28" s="125"/>
      <c r="C28" s="128"/>
      <c r="D28" s="126"/>
      <c r="E28" s="138"/>
      <c r="F28" s="137"/>
      <c r="G28" s="137"/>
      <c r="H28" s="137"/>
      <c r="I28" s="137"/>
      <c r="J28" s="137"/>
      <c r="K28" s="137"/>
      <c r="L28" s="137"/>
      <c r="M28" s="137"/>
      <c r="N28" s="137"/>
      <c r="O28" s="137"/>
      <c r="P28" s="129"/>
      <c r="Q28" s="127">
        <f t="shared" ref="Q28:Q33" si="0">SUM(C28*P28)</f>
        <v>0</v>
      </c>
      <c r="R28" s="79"/>
      <c r="S28" s="1"/>
      <c r="T28" s="80"/>
    </row>
    <row r="29" spans="1:20" s="140" customFormat="1" ht="15" x14ac:dyDescent="0.2">
      <c r="A29" s="78"/>
      <c r="B29" s="125"/>
      <c r="C29" s="128"/>
      <c r="D29" s="126"/>
      <c r="E29" s="137"/>
      <c r="F29" s="137"/>
      <c r="G29" s="137"/>
      <c r="H29" s="137"/>
      <c r="I29" s="137"/>
      <c r="J29" s="137"/>
      <c r="K29" s="137"/>
      <c r="L29" s="137"/>
      <c r="M29" s="137"/>
      <c r="N29" s="137"/>
      <c r="O29" s="137"/>
      <c r="P29" s="129"/>
      <c r="Q29" s="127">
        <f t="shared" si="0"/>
        <v>0</v>
      </c>
      <c r="R29" s="79"/>
      <c r="S29" s="1"/>
      <c r="T29" s="80"/>
    </row>
    <row r="30" spans="1:20" s="140" customFormat="1" ht="15" x14ac:dyDescent="0.2">
      <c r="A30" s="78"/>
      <c r="B30" s="125"/>
      <c r="C30" s="128"/>
      <c r="D30" s="126"/>
      <c r="E30" s="137"/>
      <c r="F30" s="137"/>
      <c r="G30" s="137"/>
      <c r="H30" s="137"/>
      <c r="I30" s="137"/>
      <c r="J30" s="137"/>
      <c r="K30" s="137"/>
      <c r="L30" s="137"/>
      <c r="M30" s="137"/>
      <c r="N30" s="137"/>
      <c r="O30" s="137"/>
      <c r="P30" s="129"/>
      <c r="Q30" s="127">
        <f t="shared" si="0"/>
        <v>0</v>
      </c>
      <c r="R30" s="79"/>
      <c r="S30" s="1"/>
      <c r="T30" s="80"/>
    </row>
    <row r="31" spans="1:20" s="140" customFormat="1" ht="13.5" customHeight="1" x14ac:dyDescent="0.2">
      <c r="A31" s="78"/>
      <c r="B31" s="114"/>
      <c r="C31" s="116"/>
      <c r="D31" s="118"/>
      <c r="E31" s="144"/>
      <c r="F31" s="145"/>
      <c r="G31" s="145"/>
      <c r="H31" s="145"/>
      <c r="I31" s="145"/>
      <c r="J31" s="145"/>
      <c r="K31" s="145"/>
      <c r="L31" s="145"/>
      <c r="M31" s="145"/>
      <c r="N31" s="145"/>
      <c r="O31" s="145"/>
      <c r="P31" s="121"/>
      <c r="Q31" s="127">
        <f t="shared" si="0"/>
        <v>0</v>
      </c>
      <c r="R31" s="79"/>
      <c r="S31" s="9"/>
      <c r="T31" s="80"/>
    </row>
    <row r="32" spans="1:20" s="141" customFormat="1" ht="14.25" customHeight="1" x14ac:dyDescent="0.2">
      <c r="A32" s="81"/>
      <c r="B32" s="114"/>
      <c r="C32" s="117"/>
      <c r="D32" s="119"/>
      <c r="E32" s="146"/>
      <c r="F32" s="146"/>
      <c r="G32" s="146"/>
      <c r="H32" s="146"/>
      <c r="I32" s="146"/>
      <c r="J32" s="146"/>
      <c r="K32" s="146"/>
      <c r="L32" s="146"/>
      <c r="M32" s="146"/>
      <c r="N32" s="146"/>
      <c r="O32" s="146"/>
      <c r="P32" s="122"/>
      <c r="Q32" s="127">
        <f t="shared" si="0"/>
        <v>0</v>
      </c>
      <c r="R32" s="82"/>
      <c r="S32" s="15"/>
      <c r="T32" s="83"/>
    </row>
    <row r="33" spans="1:20" s="141" customFormat="1" ht="14.25" customHeight="1" x14ac:dyDescent="0.2">
      <c r="A33" s="81"/>
      <c r="B33" s="114"/>
      <c r="C33" s="117"/>
      <c r="D33" s="119"/>
      <c r="E33" s="112"/>
      <c r="F33" s="112"/>
      <c r="G33" s="112"/>
      <c r="H33" s="112"/>
      <c r="I33" s="112"/>
      <c r="J33" s="112"/>
      <c r="K33" s="112"/>
      <c r="L33" s="112"/>
      <c r="M33" s="112"/>
      <c r="N33" s="112"/>
      <c r="O33" s="112"/>
      <c r="P33" s="122"/>
      <c r="Q33" s="127">
        <f t="shared" si="0"/>
        <v>0</v>
      </c>
      <c r="R33" s="82"/>
      <c r="S33" s="15"/>
      <c r="T33" s="83"/>
    </row>
    <row r="34" spans="1:20" s="141" customFormat="1" ht="12" customHeight="1" x14ac:dyDescent="0.2">
      <c r="A34" s="81"/>
      <c r="B34" s="40"/>
      <c r="C34" s="41"/>
      <c r="D34" s="42"/>
      <c r="E34" s="147"/>
      <c r="F34" s="147"/>
      <c r="G34" s="147"/>
      <c r="H34" s="147"/>
      <c r="I34" s="147"/>
      <c r="J34" s="147"/>
      <c r="K34" s="147"/>
      <c r="L34" s="147"/>
      <c r="M34" s="147"/>
      <c r="N34" s="147"/>
      <c r="O34" s="147"/>
      <c r="P34" s="43"/>
      <c r="Q34" s="136"/>
      <c r="R34" s="82"/>
      <c r="S34" s="15"/>
      <c r="T34" s="83"/>
    </row>
    <row r="35" spans="1:20" ht="15.75" x14ac:dyDescent="0.2">
      <c r="A35" s="53"/>
      <c r="B35" s="54"/>
      <c r="C35" s="63"/>
      <c r="D35" s="63"/>
      <c r="E35" s="63"/>
      <c r="F35" s="63"/>
      <c r="G35" s="63"/>
      <c r="H35" s="63"/>
      <c r="I35" s="63"/>
      <c r="J35" s="63"/>
      <c r="K35" s="63"/>
      <c r="L35" s="63"/>
      <c r="M35" s="63"/>
      <c r="N35" s="84"/>
      <c r="O35" s="162" t="s">
        <v>12</v>
      </c>
      <c r="P35" s="163"/>
      <c r="Q35" s="17">
        <f>SUM(Q27:Q32)</f>
        <v>0</v>
      </c>
      <c r="R35" s="135"/>
      <c r="S35" s="1"/>
    </row>
    <row r="36" spans="1:20" ht="16.5" thickBot="1" x14ac:dyDescent="0.25">
      <c r="A36" s="53"/>
      <c r="B36" s="74"/>
      <c r="C36" s="74"/>
      <c r="D36" s="63"/>
      <c r="E36" s="63"/>
      <c r="F36" s="63"/>
      <c r="G36" s="63"/>
      <c r="H36" s="63"/>
      <c r="I36" s="63"/>
      <c r="J36" s="63"/>
      <c r="K36" s="63"/>
      <c r="L36" s="63"/>
      <c r="M36" s="63"/>
      <c r="N36" s="84"/>
      <c r="O36" s="162" t="s">
        <v>42</v>
      </c>
      <c r="P36" s="163"/>
      <c r="Q36" s="111"/>
      <c r="R36" s="54"/>
      <c r="S36" s="1"/>
    </row>
    <row r="37" spans="1:20" ht="16.5" thickBot="1" x14ac:dyDescent="0.25">
      <c r="A37" s="53"/>
      <c r="B37" s="12"/>
      <c r="C37" s="74" t="s">
        <v>28</v>
      </c>
      <c r="D37" s="74"/>
      <c r="E37" s="74"/>
      <c r="F37" s="85" t="s">
        <v>27</v>
      </c>
      <c r="G37" s="155"/>
      <c r="H37" s="155"/>
      <c r="I37" s="74"/>
      <c r="J37" s="152"/>
      <c r="K37" s="152"/>
      <c r="L37" s="152"/>
      <c r="M37" s="63"/>
      <c r="N37" s="85"/>
      <c r="O37" s="162" t="s">
        <v>14</v>
      </c>
      <c r="P37" s="163"/>
      <c r="Q37" s="17"/>
      <c r="R37" s="54"/>
      <c r="S37" s="1"/>
    </row>
    <row r="38" spans="1:20" ht="13.5" thickBot="1" x14ac:dyDescent="0.25">
      <c r="A38" s="53"/>
      <c r="B38" s="12"/>
      <c r="C38" s="74" t="s">
        <v>29</v>
      </c>
      <c r="D38" s="74"/>
      <c r="E38" s="74"/>
      <c r="F38" s="85" t="s">
        <v>24</v>
      </c>
      <c r="G38" s="153"/>
      <c r="H38" s="153"/>
      <c r="I38" s="85"/>
      <c r="J38" s="86"/>
      <c r="K38" s="63"/>
      <c r="L38" s="63"/>
      <c r="M38" s="87"/>
      <c r="N38" s="87"/>
      <c r="O38" s="162" t="s">
        <v>15</v>
      </c>
      <c r="P38" s="163"/>
      <c r="Q38" s="5"/>
      <c r="R38" s="54"/>
      <c r="S38" s="1"/>
    </row>
    <row r="39" spans="1:20" ht="15.75" x14ac:dyDescent="0.2">
      <c r="A39" s="53"/>
      <c r="B39" s="74"/>
      <c r="C39" s="74"/>
      <c r="D39" s="74"/>
      <c r="E39" s="88"/>
      <c r="F39" s="85" t="s">
        <v>13</v>
      </c>
      <c r="G39" s="154"/>
      <c r="H39" s="154"/>
      <c r="I39" s="89"/>
      <c r="J39" s="89"/>
      <c r="K39" s="63"/>
      <c r="L39" s="63"/>
      <c r="M39" s="63"/>
      <c r="N39" s="85"/>
      <c r="O39" s="160" t="s">
        <v>18</v>
      </c>
      <c r="P39" s="161"/>
      <c r="Q39" s="16">
        <f>SUM(Q35+Q36+Q37)</f>
        <v>0</v>
      </c>
      <c r="R39" s="54"/>
      <c r="S39" s="1"/>
    </row>
    <row r="40" spans="1:20" x14ac:dyDescent="0.2">
      <c r="A40" s="53"/>
      <c r="B40" s="54"/>
      <c r="C40" s="63"/>
      <c r="D40" s="63"/>
      <c r="E40" s="85"/>
      <c r="F40" s="85"/>
      <c r="G40" s="85"/>
      <c r="H40" s="85"/>
      <c r="I40" s="63"/>
      <c r="J40" s="66"/>
      <c r="K40" s="90"/>
      <c r="L40" s="67"/>
      <c r="M40" s="91"/>
      <c r="N40" s="91"/>
      <c r="O40" s="159"/>
      <c r="P40" s="159"/>
      <c r="Q40" s="13"/>
      <c r="R40" s="54"/>
      <c r="S40" s="1"/>
    </row>
    <row r="41" spans="1:20" x14ac:dyDescent="0.2">
      <c r="A41" s="53"/>
      <c r="B41" s="54"/>
      <c r="C41" s="63"/>
      <c r="D41" s="63"/>
      <c r="E41" s="85"/>
      <c r="F41" s="85"/>
      <c r="G41" s="85"/>
      <c r="H41" s="85"/>
      <c r="I41" s="63"/>
      <c r="J41" s="92"/>
      <c r="K41" s="92"/>
      <c r="L41" s="72"/>
      <c r="M41" s="91"/>
      <c r="N41" s="91"/>
      <c r="O41" s="157"/>
      <c r="P41" s="157"/>
      <c r="Q41" s="14"/>
      <c r="R41" s="54"/>
      <c r="S41" s="1"/>
    </row>
    <row r="42" spans="1:20" x14ac:dyDescent="0.2">
      <c r="A42" s="53"/>
      <c r="B42" s="54"/>
      <c r="C42" s="152"/>
      <c r="D42" s="152"/>
      <c r="E42" s="152"/>
      <c r="F42" s="85"/>
      <c r="G42" s="152"/>
      <c r="H42" s="152"/>
      <c r="I42" s="63"/>
      <c r="J42" s="75" t="s">
        <v>16</v>
      </c>
      <c r="K42" s="90"/>
      <c r="L42" s="67" t="s">
        <v>17</v>
      </c>
      <c r="M42" s="91"/>
      <c r="N42" s="91"/>
      <c r="O42" s="158"/>
      <c r="P42" s="158"/>
      <c r="Q42" s="6"/>
      <c r="R42" s="54"/>
      <c r="S42" s="1"/>
    </row>
    <row r="43" spans="1:20" x14ac:dyDescent="0.2">
      <c r="A43" s="53"/>
      <c r="B43" s="54"/>
      <c r="C43" s="54"/>
      <c r="D43" s="63"/>
      <c r="E43" s="63"/>
      <c r="F43" s="85"/>
      <c r="G43" s="85"/>
      <c r="H43" s="72"/>
      <c r="I43" s="63"/>
      <c r="J43" s="90"/>
      <c r="K43" s="92"/>
      <c r="L43" s="72"/>
      <c r="M43" s="91"/>
      <c r="N43" s="91"/>
      <c r="O43" s="93"/>
      <c r="P43" s="93"/>
      <c r="Q43" s="6"/>
      <c r="R43" s="54"/>
      <c r="S43" s="1"/>
    </row>
    <row r="44" spans="1:20" x14ac:dyDescent="0.2">
      <c r="A44" s="53"/>
      <c r="B44" s="94"/>
      <c r="C44" s="54"/>
      <c r="D44" s="63"/>
      <c r="E44" s="63"/>
      <c r="F44" s="85"/>
      <c r="G44" s="85"/>
      <c r="H44" s="72"/>
      <c r="I44" s="63"/>
      <c r="J44" s="90"/>
      <c r="K44" s="92"/>
      <c r="L44" s="72"/>
      <c r="M44" s="91"/>
      <c r="N44" s="91"/>
      <c r="O44" s="93"/>
      <c r="P44" s="93"/>
      <c r="Q44" s="6"/>
      <c r="R44" s="54"/>
      <c r="S44" s="1"/>
    </row>
    <row r="45" spans="1:20" ht="12.75" customHeight="1" x14ac:dyDescent="0.2">
      <c r="A45" s="53"/>
      <c r="B45" s="148" t="s">
        <v>30</v>
      </c>
      <c r="C45" s="148"/>
      <c r="D45" s="148"/>
      <c r="E45" s="148"/>
      <c r="F45" s="148"/>
      <c r="G45" s="148"/>
      <c r="H45" s="148"/>
      <c r="I45" s="148"/>
      <c r="J45" s="148"/>
      <c r="K45" s="148"/>
      <c r="L45" s="148"/>
      <c r="M45" s="148"/>
      <c r="N45" s="148"/>
      <c r="O45" s="148"/>
      <c r="P45" s="148"/>
      <c r="Q45" s="148"/>
      <c r="R45" s="54"/>
      <c r="S45" s="1"/>
    </row>
    <row r="46" spans="1:20" x14ac:dyDescent="0.2">
      <c r="A46" s="53"/>
      <c r="B46" s="148"/>
      <c r="C46" s="148"/>
      <c r="D46" s="148"/>
      <c r="E46" s="148"/>
      <c r="F46" s="148"/>
      <c r="G46" s="148"/>
      <c r="H46" s="148"/>
      <c r="I46" s="148"/>
      <c r="J46" s="148"/>
      <c r="K46" s="148"/>
      <c r="L46" s="148"/>
      <c r="M46" s="148"/>
      <c r="N46" s="148"/>
      <c r="O46" s="148"/>
      <c r="P46" s="148"/>
      <c r="Q46" s="148"/>
      <c r="R46" s="54"/>
      <c r="S46" s="1"/>
    </row>
    <row r="47" spans="1:20" x14ac:dyDescent="0.2">
      <c r="A47" s="53"/>
      <c r="B47" s="148"/>
      <c r="C47" s="148"/>
      <c r="D47" s="148"/>
      <c r="E47" s="148"/>
      <c r="F47" s="148"/>
      <c r="G47" s="148"/>
      <c r="H47" s="148"/>
      <c r="I47" s="148"/>
      <c r="J47" s="148"/>
      <c r="K47" s="148"/>
      <c r="L47" s="148"/>
      <c r="M47" s="148"/>
      <c r="N47" s="148"/>
      <c r="O47" s="148"/>
      <c r="P47" s="148"/>
      <c r="Q47" s="148"/>
      <c r="R47" s="54"/>
      <c r="S47" s="1"/>
    </row>
    <row r="48" spans="1:20" x14ac:dyDescent="0.2">
      <c r="A48" s="53"/>
      <c r="B48" s="54"/>
      <c r="C48" s="95"/>
      <c r="D48" s="72"/>
      <c r="E48" s="72"/>
      <c r="F48" s="85"/>
      <c r="G48" s="72"/>
      <c r="H48" s="72"/>
      <c r="I48" s="63"/>
      <c r="J48" s="90"/>
      <c r="K48" s="92"/>
      <c r="L48" s="72"/>
      <c r="M48" s="91"/>
      <c r="N48" s="91"/>
      <c r="O48" s="93"/>
      <c r="P48" s="93"/>
      <c r="Q48" s="6"/>
      <c r="R48" s="54"/>
      <c r="S48" s="1"/>
    </row>
    <row r="49" spans="1:19" x14ac:dyDescent="0.2">
      <c r="A49" s="53"/>
      <c r="B49" s="54"/>
      <c r="C49" s="54"/>
      <c r="D49" s="54"/>
      <c r="E49" s="54"/>
      <c r="F49" s="96"/>
      <c r="G49" s="96"/>
      <c r="H49" s="96"/>
      <c r="I49" s="54"/>
      <c r="J49" s="54"/>
      <c r="K49" s="54"/>
      <c r="L49" s="54"/>
      <c r="M49" s="97"/>
      <c r="N49" s="97"/>
      <c r="O49" s="98"/>
      <c r="P49" s="98"/>
      <c r="Q49" s="54"/>
      <c r="R49" s="54"/>
      <c r="S49" s="1"/>
    </row>
    <row r="50" spans="1:19" ht="10.9" customHeight="1" x14ac:dyDescent="0.2">
      <c r="A50" s="53"/>
      <c r="B50" s="54"/>
      <c r="C50" s="54"/>
      <c r="D50" s="54"/>
      <c r="E50" s="54"/>
      <c r="F50" s="96"/>
      <c r="G50" s="96"/>
      <c r="H50" s="96"/>
      <c r="I50" s="54"/>
      <c r="J50" s="54"/>
      <c r="K50" s="54"/>
      <c r="L50" s="54"/>
      <c r="M50" s="97"/>
      <c r="N50" s="97"/>
      <c r="O50" s="98"/>
      <c r="P50" s="98"/>
      <c r="Q50" s="54"/>
      <c r="R50" s="54"/>
      <c r="S50" s="1"/>
    </row>
    <row r="51" spans="1:19" ht="12.75" customHeight="1" x14ac:dyDescent="0.2">
      <c r="A51" s="53"/>
      <c r="B51" s="142" t="s">
        <v>49</v>
      </c>
      <c r="C51" s="142"/>
      <c r="D51" s="142"/>
      <c r="E51" s="142"/>
      <c r="F51" s="142"/>
      <c r="G51" s="142"/>
      <c r="H51" s="142"/>
      <c r="I51" s="142"/>
      <c r="J51" s="142"/>
      <c r="K51" s="142"/>
      <c r="L51" s="142"/>
      <c r="M51" s="142"/>
      <c r="N51" s="142"/>
      <c r="O51" s="142"/>
      <c r="P51" s="142"/>
      <c r="Q51" s="142"/>
      <c r="R51" s="54"/>
      <c r="S51" s="1"/>
    </row>
    <row r="52" spans="1:19" ht="12.75" customHeight="1" x14ac:dyDescent="0.2">
      <c r="A52" s="53"/>
      <c r="B52" s="142" t="s">
        <v>32</v>
      </c>
      <c r="C52" s="142"/>
      <c r="D52" s="142"/>
      <c r="E52" s="142"/>
      <c r="F52" s="142"/>
      <c r="G52" s="142"/>
      <c r="H52" s="142"/>
      <c r="I52" s="142"/>
      <c r="J52" s="142"/>
      <c r="K52" s="142"/>
      <c r="L52" s="142"/>
      <c r="M52" s="142"/>
      <c r="N52" s="142"/>
      <c r="O52" s="142"/>
      <c r="P52" s="142"/>
      <c r="Q52" s="142"/>
      <c r="R52" s="54"/>
      <c r="S52" s="1"/>
    </row>
    <row r="53" spans="1:19" ht="24.95" customHeight="1" x14ac:dyDescent="0.2">
      <c r="A53" s="53"/>
      <c r="B53" s="142" t="s">
        <v>37</v>
      </c>
      <c r="C53" s="142"/>
      <c r="D53" s="142"/>
      <c r="E53" s="142"/>
      <c r="F53" s="142"/>
      <c r="G53" s="142"/>
      <c r="H53" s="142"/>
      <c r="I53" s="142"/>
      <c r="J53" s="142"/>
      <c r="K53" s="142"/>
      <c r="L53" s="142"/>
      <c r="M53" s="142"/>
      <c r="N53" s="142"/>
      <c r="O53" s="142"/>
      <c r="P53" s="142"/>
      <c r="Q53" s="142"/>
      <c r="R53" s="54"/>
      <c r="S53" s="1"/>
    </row>
    <row r="54" spans="1:19" ht="24.95" customHeight="1" x14ac:dyDescent="0.2">
      <c r="A54" s="53"/>
      <c r="B54" s="142" t="s">
        <v>50</v>
      </c>
      <c r="C54" s="142"/>
      <c r="D54" s="142"/>
      <c r="E54" s="142"/>
      <c r="F54" s="142"/>
      <c r="G54" s="142"/>
      <c r="H54" s="142"/>
      <c r="I54" s="142"/>
      <c r="J54" s="142"/>
      <c r="K54" s="142"/>
      <c r="L54" s="142"/>
      <c r="M54" s="142"/>
      <c r="N54" s="142"/>
      <c r="O54" s="142"/>
      <c r="P54" s="142"/>
      <c r="Q54" s="142"/>
      <c r="R54" s="54"/>
      <c r="S54" s="1"/>
    </row>
    <row r="55" spans="1:19" ht="24.95" customHeight="1" x14ac:dyDescent="0.2">
      <c r="A55" s="53"/>
      <c r="B55" s="142" t="s">
        <v>38</v>
      </c>
      <c r="C55" s="142"/>
      <c r="D55" s="142"/>
      <c r="E55" s="142"/>
      <c r="F55" s="142"/>
      <c r="G55" s="142"/>
      <c r="H55" s="142"/>
      <c r="I55" s="142"/>
      <c r="J55" s="142"/>
      <c r="K55" s="142"/>
      <c r="L55" s="142"/>
      <c r="M55" s="142"/>
      <c r="N55" s="142"/>
      <c r="O55" s="142"/>
      <c r="P55" s="142"/>
      <c r="Q55" s="142"/>
      <c r="R55" s="54"/>
      <c r="S55" s="1"/>
    </row>
    <row r="56" spans="1:19" ht="12.75" customHeight="1" x14ac:dyDescent="0.2">
      <c r="A56" s="53"/>
      <c r="B56" s="142" t="s">
        <v>33</v>
      </c>
      <c r="C56" s="142"/>
      <c r="D56" s="142"/>
      <c r="E56" s="142"/>
      <c r="F56" s="142"/>
      <c r="G56" s="142"/>
      <c r="H56" s="142"/>
      <c r="I56" s="142"/>
      <c r="J56" s="142"/>
      <c r="K56" s="142"/>
      <c r="L56" s="142"/>
      <c r="M56" s="142"/>
      <c r="N56" s="142"/>
      <c r="O56" s="142"/>
      <c r="P56" s="142"/>
      <c r="Q56" s="142"/>
      <c r="R56" s="54"/>
      <c r="S56" s="1"/>
    </row>
    <row r="57" spans="1:19" ht="12.75" customHeight="1" x14ac:dyDescent="0.2">
      <c r="A57" s="53"/>
      <c r="B57" s="142" t="s">
        <v>34</v>
      </c>
      <c r="C57" s="142"/>
      <c r="D57" s="142"/>
      <c r="E57" s="142"/>
      <c r="F57" s="142"/>
      <c r="G57" s="142"/>
      <c r="H57" s="142"/>
      <c r="I57" s="142"/>
      <c r="J57" s="142"/>
      <c r="K57" s="142"/>
      <c r="L57" s="142"/>
      <c r="M57" s="142"/>
      <c r="N57" s="142"/>
      <c r="O57" s="142"/>
      <c r="P57" s="142"/>
      <c r="Q57" s="142"/>
      <c r="R57" s="54"/>
      <c r="S57" s="1"/>
    </row>
    <row r="58" spans="1:19" ht="12.75" customHeight="1" x14ac:dyDescent="0.2">
      <c r="A58" s="53"/>
      <c r="B58" s="142" t="s">
        <v>35</v>
      </c>
      <c r="C58" s="142"/>
      <c r="D58" s="142"/>
      <c r="E58" s="142"/>
      <c r="F58" s="142"/>
      <c r="G58" s="142"/>
      <c r="H58" s="142"/>
      <c r="I58" s="142"/>
      <c r="J58" s="142"/>
      <c r="K58" s="142"/>
      <c r="L58" s="142"/>
      <c r="M58" s="142"/>
      <c r="N58" s="142"/>
      <c r="O58" s="142"/>
      <c r="P58" s="142"/>
      <c r="Q58" s="142"/>
      <c r="R58" s="54"/>
      <c r="S58" s="1"/>
    </row>
    <row r="59" spans="1:19" ht="24.95" customHeight="1" x14ac:dyDescent="0.2">
      <c r="A59" s="53"/>
      <c r="B59" s="142" t="s">
        <v>39</v>
      </c>
      <c r="C59" s="142"/>
      <c r="D59" s="142"/>
      <c r="E59" s="142"/>
      <c r="F59" s="142"/>
      <c r="G59" s="142"/>
      <c r="H59" s="142"/>
      <c r="I59" s="142"/>
      <c r="J59" s="142"/>
      <c r="K59" s="142"/>
      <c r="L59" s="142"/>
      <c r="M59" s="142"/>
      <c r="N59" s="142"/>
      <c r="O59" s="142"/>
      <c r="P59" s="142"/>
      <c r="Q59" s="142"/>
      <c r="R59" s="54"/>
      <c r="S59" s="1"/>
    </row>
    <row r="60" spans="1:19" ht="24.95" customHeight="1" x14ac:dyDescent="0.2">
      <c r="A60" s="53"/>
      <c r="B60" s="142" t="s">
        <v>52</v>
      </c>
      <c r="C60" s="142"/>
      <c r="D60" s="142"/>
      <c r="E60" s="142"/>
      <c r="F60" s="142"/>
      <c r="G60" s="142"/>
      <c r="H60" s="142"/>
      <c r="I60" s="142"/>
      <c r="J60" s="142"/>
      <c r="K60" s="142"/>
      <c r="L60" s="142"/>
      <c r="M60" s="142"/>
      <c r="N60" s="142"/>
      <c r="O60" s="142"/>
      <c r="P60" s="142"/>
      <c r="Q60" s="142"/>
      <c r="R60" s="99"/>
      <c r="S60" s="1"/>
    </row>
    <row r="61" spans="1:19" ht="12.75" customHeight="1" x14ac:dyDescent="0.2">
      <c r="A61" s="53"/>
      <c r="B61" s="142" t="s">
        <v>36</v>
      </c>
      <c r="C61" s="142"/>
      <c r="D61" s="142"/>
      <c r="E61" s="142"/>
      <c r="F61" s="142"/>
      <c r="G61" s="142"/>
      <c r="H61" s="142"/>
      <c r="I61" s="142"/>
      <c r="J61" s="142"/>
      <c r="K61" s="142"/>
      <c r="L61" s="142"/>
      <c r="M61" s="142"/>
      <c r="N61" s="142"/>
      <c r="O61" s="142"/>
      <c r="P61" s="142"/>
      <c r="Q61" s="142"/>
      <c r="R61" s="99"/>
      <c r="S61" s="1"/>
    </row>
    <row r="62" spans="1:19" ht="24.95" customHeight="1" x14ac:dyDescent="0.2">
      <c r="A62" s="53"/>
      <c r="B62" s="142" t="s">
        <v>40</v>
      </c>
      <c r="C62" s="142"/>
      <c r="D62" s="142"/>
      <c r="E62" s="142"/>
      <c r="F62" s="142"/>
      <c r="G62" s="142"/>
      <c r="H62" s="142"/>
      <c r="I62" s="142"/>
      <c r="J62" s="142"/>
      <c r="K62" s="142"/>
      <c r="L62" s="142"/>
      <c r="M62" s="142"/>
      <c r="N62" s="142"/>
      <c r="O62" s="142"/>
      <c r="P62" s="142"/>
      <c r="Q62" s="142"/>
      <c r="R62" s="99"/>
      <c r="S62" s="1"/>
    </row>
    <row r="63" spans="1:19" ht="36.950000000000003" customHeight="1" x14ac:dyDescent="0.2">
      <c r="A63" s="53"/>
      <c r="B63" s="142" t="s">
        <v>53</v>
      </c>
      <c r="C63" s="142"/>
      <c r="D63" s="142"/>
      <c r="E63" s="142"/>
      <c r="F63" s="142"/>
      <c r="G63" s="142"/>
      <c r="H63" s="142"/>
      <c r="I63" s="142"/>
      <c r="J63" s="142"/>
      <c r="K63" s="142"/>
      <c r="L63" s="142"/>
      <c r="M63" s="142"/>
      <c r="N63" s="142"/>
      <c r="O63" s="142"/>
      <c r="P63" s="142"/>
      <c r="Q63" s="142"/>
      <c r="R63" s="99"/>
      <c r="S63" s="1"/>
    </row>
    <row r="64" spans="1:19" ht="24.95" customHeight="1" x14ac:dyDescent="0.2">
      <c r="A64" s="53"/>
      <c r="B64" s="142" t="s">
        <v>41</v>
      </c>
      <c r="C64" s="142"/>
      <c r="D64" s="142"/>
      <c r="E64" s="142"/>
      <c r="F64" s="142"/>
      <c r="G64" s="142"/>
      <c r="H64" s="142"/>
      <c r="I64" s="142"/>
      <c r="J64" s="142"/>
      <c r="K64" s="142"/>
      <c r="L64" s="142"/>
      <c r="M64" s="142"/>
      <c r="N64" s="142"/>
      <c r="O64" s="142"/>
      <c r="P64" s="142"/>
      <c r="Q64" s="142"/>
      <c r="R64" s="99"/>
      <c r="S64" s="1"/>
    </row>
    <row r="65" spans="1:19" ht="24.95" customHeight="1" x14ac:dyDescent="0.2">
      <c r="A65" s="53"/>
      <c r="B65" s="142" t="s">
        <v>43</v>
      </c>
      <c r="C65" s="142"/>
      <c r="D65" s="142"/>
      <c r="E65" s="142"/>
      <c r="F65" s="142"/>
      <c r="G65" s="142"/>
      <c r="H65" s="142"/>
      <c r="I65" s="142"/>
      <c r="J65" s="142"/>
      <c r="K65" s="142"/>
      <c r="L65" s="142"/>
      <c r="M65" s="142"/>
      <c r="N65" s="142"/>
      <c r="O65" s="142"/>
      <c r="P65" s="142"/>
      <c r="Q65" s="142"/>
      <c r="R65" s="54"/>
      <c r="S65" s="1"/>
    </row>
    <row r="66" spans="1:19" ht="39.950000000000003" customHeight="1" x14ac:dyDescent="0.2">
      <c r="A66" s="53"/>
      <c r="B66" s="142" t="s">
        <v>44</v>
      </c>
      <c r="C66" s="142"/>
      <c r="D66" s="142"/>
      <c r="E66" s="142"/>
      <c r="F66" s="142"/>
      <c r="G66" s="142"/>
      <c r="H66" s="142"/>
      <c r="I66" s="142"/>
      <c r="J66" s="142"/>
      <c r="K66" s="142"/>
      <c r="L66" s="142"/>
      <c r="M66" s="142"/>
      <c r="N66" s="142"/>
      <c r="O66" s="142"/>
      <c r="P66" s="142"/>
      <c r="Q66" s="142"/>
      <c r="R66" s="54"/>
      <c r="S66" s="1"/>
    </row>
    <row r="67" spans="1:19" ht="24.95" customHeight="1" x14ac:dyDescent="0.2">
      <c r="A67" s="53"/>
      <c r="B67" s="142" t="s">
        <v>45</v>
      </c>
      <c r="C67" s="142"/>
      <c r="D67" s="142"/>
      <c r="E67" s="142"/>
      <c r="F67" s="142"/>
      <c r="G67" s="142"/>
      <c r="H67" s="142"/>
      <c r="I67" s="142"/>
      <c r="J67" s="142"/>
      <c r="K67" s="142"/>
      <c r="L67" s="142"/>
      <c r="M67" s="142"/>
      <c r="N67" s="142"/>
      <c r="O67" s="142"/>
      <c r="P67" s="142"/>
      <c r="Q67" s="142"/>
      <c r="R67" s="54"/>
      <c r="S67" s="1"/>
    </row>
    <row r="68" spans="1:19" x14ac:dyDescent="0.2">
      <c r="A68" s="53"/>
      <c r="B68" s="54"/>
      <c r="C68" s="63"/>
      <c r="D68" s="94"/>
      <c r="E68" s="94"/>
      <c r="F68" s="63"/>
      <c r="G68" s="94"/>
      <c r="H68" s="94"/>
      <c r="I68" s="94"/>
      <c r="J68" s="94"/>
      <c r="K68" s="94"/>
      <c r="L68" s="94"/>
      <c r="M68" s="94"/>
      <c r="N68" s="94"/>
      <c r="O68" s="94"/>
      <c r="P68" s="94"/>
      <c r="Q68" s="54"/>
      <c r="R68" s="54"/>
      <c r="S68" s="1"/>
    </row>
    <row r="69" spans="1:19" ht="14.25" customHeight="1" x14ac:dyDescent="0.2">
      <c r="A69" s="53"/>
      <c r="B69" s="54"/>
      <c r="C69" s="54"/>
      <c r="D69" s="54"/>
      <c r="E69" s="54"/>
      <c r="F69" s="54"/>
      <c r="G69" s="54"/>
      <c r="H69" s="54"/>
      <c r="I69" s="54"/>
      <c r="J69" s="54"/>
      <c r="K69" s="54"/>
      <c r="L69" s="54"/>
      <c r="M69" s="54"/>
      <c r="N69" s="54"/>
      <c r="O69" s="54"/>
      <c r="P69" s="54"/>
      <c r="Q69" s="54"/>
      <c r="R69" s="54"/>
      <c r="S69" s="1"/>
    </row>
    <row r="70" spans="1:19" x14ac:dyDescent="0.2">
      <c r="A70" s="53"/>
      <c r="B70" s="54"/>
      <c r="C70" s="54"/>
      <c r="D70" s="54"/>
      <c r="E70" s="54"/>
      <c r="F70" s="54"/>
      <c r="G70" s="54"/>
      <c r="H70" s="54"/>
      <c r="I70" s="54"/>
      <c r="J70" s="54"/>
      <c r="K70" s="54"/>
      <c r="L70" s="54"/>
      <c r="M70" s="54"/>
      <c r="N70" s="54"/>
      <c r="O70" s="54"/>
      <c r="P70" s="54"/>
      <c r="Q70" s="54"/>
      <c r="R70" s="54"/>
      <c r="S70" s="1"/>
    </row>
    <row r="71" spans="1:19" x14ac:dyDescent="0.2">
      <c r="A71" s="53"/>
      <c r="B71" s="54"/>
      <c r="C71" s="166"/>
      <c r="D71" s="166"/>
      <c r="E71" s="166"/>
      <c r="F71" s="166"/>
      <c r="G71" s="54"/>
      <c r="H71" s="54"/>
      <c r="I71" s="166"/>
      <c r="J71" s="166"/>
      <c r="K71" s="166"/>
      <c r="L71" s="166"/>
      <c r="M71" s="54"/>
      <c r="N71" s="166"/>
      <c r="O71" s="166"/>
      <c r="P71" s="166"/>
      <c r="Q71" s="166"/>
      <c r="R71" s="54"/>
      <c r="S71" s="1"/>
    </row>
    <row r="72" spans="1:19" x14ac:dyDescent="0.2">
      <c r="A72" s="53"/>
      <c r="B72" s="54"/>
      <c r="C72" s="100" t="s">
        <v>19</v>
      </c>
      <c r="D72" s="101"/>
      <c r="E72" s="101"/>
      <c r="F72" s="102" t="s">
        <v>51</v>
      </c>
      <c r="G72" s="101"/>
      <c r="H72" s="102"/>
      <c r="I72" s="102"/>
      <c r="J72" s="101"/>
      <c r="K72" s="102" t="s">
        <v>51</v>
      </c>
      <c r="L72" s="101"/>
      <c r="M72" s="101"/>
      <c r="N72" s="103"/>
      <c r="O72" s="102"/>
      <c r="P72" s="102" t="s">
        <v>26</v>
      </c>
      <c r="Q72" s="101"/>
      <c r="R72" s="101"/>
      <c r="S72" s="11"/>
    </row>
    <row r="73" spans="1:19" x14ac:dyDescent="0.2">
      <c r="A73" s="53"/>
      <c r="B73" s="54"/>
      <c r="C73" s="102" t="s">
        <v>31</v>
      </c>
      <c r="D73" s="101"/>
      <c r="E73" s="101"/>
      <c r="F73" s="102" t="s">
        <v>31</v>
      </c>
      <c r="G73" s="57"/>
      <c r="H73" s="102"/>
      <c r="I73" s="102"/>
      <c r="J73" s="101"/>
      <c r="K73" s="102" t="s">
        <v>31</v>
      </c>
      <c r="L73" s="102"/>
      <c r="M73" s="101"/>
      <c r="N73" s="104"/>
      <c r="O73" s="105"/>
      <c r="P73" s="102" t="s">
        <v>31</v>
      </c>
      <c r="Q73" s="105"/>
      <c r="R73" s="105"/>
      <c r="S73" s="10"/>
    </row>
    <row r="74" spans="1:19" x14ac:dyDescent="0.2">
      <c r="A74" s="53"/>
      <c r="B74" s="101"/>
      <c r="C74" s="102"/>
      <c r="D74" s="101"/>
      <c r="E74" s="101"/>
      <c r="F74" s="101"/>
      <c r="G74" s="101"/>
      <c r="H74" s="101"/>
      <c r="I74" s="101"/>
      <c r="J74" s="101"/>
      <c r="K74" s="101"/>
      <c r="L74" s="101"/>
      <c r="M74" s="101"/>
      <c r="N74" s="101"/>
      <c r="O74" s="101"/>
      <c r="P74" s="101"/>
      <c r="Q74" s="101"/>
      <c r="R74" s="54"/>
      <c r="S74" s="1"/>
    </row>
    <row r="75" spans="1:19" ht="6.75" customHeight="1" x14ac:dyDescent="0.2">
      <c r="A75" s="53"/>
      <c r="B75" s="54"/>
      <c r="C75" s="54"/>
      <c r="D75" s="54"/>
      <c r="E75" s="54"/>
      <c r="F75" s="54"/>
      <c r="G75" s="54"/>
      <c r="H75" s="54"/>
      <c r="I75" s="54"/>
      <c r="J75" s="54"/>
      <c r="K75" s="54"/>
      <c r="L75" s="54"/>
      <c r="M75" s="54"/>
      <c r="N75" s="54"/>
      <c r="O75" s="54"/>
      <c r="P75" s="54"/>
      <c r="Q75" s="54"/>
      <c r="R75" s="54"/>
      <c r="S75" s="1"/>
    </row>
    <row r="76" spans="1:19" ht="11.25" customHeight="1" thickBot="1" x14ac:dyDescent="0.25">
      <c r="A76" s="53"/>
      <c r="B76" s="37"/>
      <c r="C76" s="38"/>
      <c r="D76" s="38"/>
      <c r="E76" s="37"/>
      <c r="F76" s="37"/>
      <c r="G76" s="37"/>
      <c r="H76" s="37"/>
      <c r="I76" s="37"/>
      <c r="J76" s="37"/>
      <c r="K76" s="37"/>
      <c r="L76" s="37"/>
      <c r="M76" s="37"/>
      <c r="N76" s="37"/>
      <c r="O76" s="37"/>
      <c r="P76" s="37"/>
      <c r="Q76" s="39"/>
      <c r="R76" s="54"/>
      <c r="S76" s="1"/>
    </row>
    <row r="77" spans="1:19" ht="8.1" customHeight="1" thickTop="1" x14ac:dyDescent="0.2">
      <c r="A77" s="53"/>
      <c r="B77" s="106"/>
      <c r="C77" s="54"/>
      <c r="D77" s="54"/>
      <c r="E77" s="54"/>
      <c r="F77" s="54"/>
      <c r="G77" s="54"/>
      <c r="H77" s="54"/>
      <c r="I77" s="54"/>
      <c r="J77" s="54"/>
      <c r="K77" s="54"/>
      <c r="L77" s="54"/>
      <c r="M77" s="54"/>
      <c r="N77" s="54"/>
      <c r="O77" s="54"/>
      <c r="P77" s="54"/>
      <c r="Q77" s="54"/>
      <c r="R77" s="54"/>
      <c r="S77" s="1"/>
    </row>
    <row r="78" spans="1:19" ht="0.95" customHeight="1" thickBot="1" x14ac:dyDescent="0.25">
      <c r="A78" s="107"/>
      <c r="B78" s="7"/>
      <c r="C78" s="7"/>
      <c r="D78" s="7"/>
      <c r="E78" s="7"/>
      <c r="F78" s="7"/>
      <c r="G78" s="7"/>
      <c r="H78" s="7"/>
      <c r="I78" s="7"/>
      <c r="J78" s="7"/>
      <c r="K78" s="7"/>
      <c r="L78" s="7"/>
      <c r="M78" s="7"/>
      <c r="N78" s="7"/>
      <c r="O78" s="7"/>
      <c r="P78" s="7"/>
      <c r="Q78" s="7"/>
      <c r="R78" s="7"/>
      <c r="S78" s="8"/>
    </row>
    <row r="79" spans="1:19" ht="13.5" thickTop="1" x14ac:dyDescent="0.2"/>
  </sheetData>
  <mergeCells count="48">
    <mergeCell ref="N71:Q71"/>
    <mergeCell ref="I71:L71"/>
    <mergeCell ref="C71:F71"/>
    <mergeCell ref="B55:Q55"/>
    <mergeCell ref="B47:Q47"/>
    <mergeCell ref="B65:Q65"/>
    <mergeCell ref="B67:Q67"/>
    <mergeCell ref="B61:Q61"/>
    <mergeCell ref="B62:Q62"/>
    <mergeCell ref="B63:Q63"/>
    <mergeCell ref="B64:Q64"/>
    <mergeCell ref="B66:Q66"/>
    <mergeCell ref="B60:Q60"/>
    <mergeCell ref="B59:Q59"/>
    <mergeCell ref="B54:Q54"/>
    <mergeCell ref="B58:Q58"/>
    <mergeCell ref="M4:O4"/>
    <mergeCell ref="O41:P41"/>
    <mergeCell ref="O42:P42"/>
    <mergeCell ref="O40:P40"/>
    <mergeCell ref="O39:P39"/>
    <mergeCell ref="O35:P35"/>
    <mergeCell ref="O37:P37"/>
    <mergeCell ref="O14:P14"/>
    <mergeCell ref="O36:P36"/>
    <mergeCell ref="O38:P38"/>
    <mergeCell ref="M5:O5"/>
    <mergeCell ref="K5:L5"/>
    <mergeCell ref="K6:L6"/>
    <mergeCell ref="N15:O15"/>
    <mergeCell ref="E25:O25"/>
    <mergeCell ref="G42:H42"/>
    <mergeCell ref="C42:E42"/>
    <mergeCell ref="G38:H38"/>
    <mergeCell ref="G39:H39"/>
    <mergeCell ref="G37:H37"/>
    <mergeCell ref="J37:L37"/>
    <mergeCell ref="B57:Q57"/>
    <mergeCell ref="B56:Q56"/>
    <mergeCell ref="E27:O27"/>
    <mergeCell ref="E31:O31"/>
    <mergeCell ref="E32:O32"/>
    <mergeCell ref="E34:O34"/>
    <mergeCell ref="B45:Q45"/>
    <mergeCell ref="B46:Q46"/>
    <mergeCell ref="B51:Q51"/>
    <mergeCell ref="B52:Q52"/>
    <mergeCell ref="B53:Q53"/>
  </mergeCells>
  <phoneticPr fontId="0" type="noConversion"/>
  <dataValidations xWindow="368" yWindow="301" count="3">
    <dataValidation type="textLength" errorStyle="warning" allowBlank="1" showErrorMessage="1" errorTitle="Unidades" error="Você deve digitar um número nesta célula." promptTitle="Unidades" sqref="B45:B47 E27:E31">
      <formula1>0</formula1>
      <formula2>256</formula2>
    </dataValidation>
    <dataValidation allowBlank="1" showInputMessage="1" sqref="O40:P41 O37:P38 C34 P27:P34 B27:B34 Q27:Q33"/>
    <dataValidation type="whole" errorStyle="warning" allowBlank="1" showErrorMessage="1" errorTitle="Quantidade" error="Você deve digitar um número nesta célula." promptTitle="Quantidade" sqref="C32:C33 D27:D34 C27:C30">
      <formula1>0</formula1>
      <formula2>1000000000</formula2>
    </dataValidation>
  </dataValidations>
  <printOptions horizontalCentered="1" verticalCentered="1"/>
  <pageMargins left="0.19" right="0.24" top="0.28999999999999998" bottom="0.19685039370078741" header="0.23" footer="0"/>
  <pageSetup paperSize="9" scale="72" orientation="portrait" horizontalDpi="4294967294"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7" r:id="rId4" name="CCL">
              <controlPr defaultSize="0" print="0" autoFill="0" autoLine="0" autoPict="0">
                <anchor moveWithCells="1">
                  <from>
                    <xdr:col>8</xdr:col>
                    <xdr:colOff>314325</xdr:colOff>
                    <xdr:row>39</xdr:row>
                    <xdr:rowOff>0</xdr:rowOff>
                  </from>
                  <to>
                    <xdr:col>11</xdr:col>
                    <xdr:colOff>523875</xdr:colOff>
                    <xdr:row>40</xdr:row>
                    <xdr:rowOff>38100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Ordem de Compra</vt:lpstr>
      <vt:lpstr>'Ordem de Compra'!Area_de_impressao</vt:lpstr>
      <vt:lpstr>'Ordem de Compra'!display_area_2</vt:lpstr>
    </vt:vector>
  </TitlesOfParts>
  <Company>LAVITTA Engenharia Civil Ltda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LAVITTA Engenharia Civil Ltda</dc:creator>
  <cp:lastModifiedBy>VFD</cp:lastModifiedBy>
  <cp:lastPrinted>2026-01-30T16:31:33Z</cp:lastPrinted>
  <dcterms:created xsi:type="dcterms:W3CDTF">2001-10-16T12:31:04Z</dcterms:created>
  <dcterms:modified xsi:type="dcterms:W3CDTF">2026-05-11T16:52:08Z</dcterms:modified>
</cp:coreProperties>
</file>